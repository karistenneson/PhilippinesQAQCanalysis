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30" documentId="13_ncr:40009_{E53F50F6-27F5-4722-B42B-929C5FDD6FF1}" xr6:coauthVersionLast="47" xr6:coauthVersionMax="47" xr10:uidLastSave="{6466B25E-242E-4903-8AE3-5E9D5B4115AE}"/>
  <bookViews>
    <workbookView xWindow="1800" yWindow="440" windowWidth="16830" windowHeight="9610" activeTab="1" xr2:uid="{00000000-000D-0000-FFFF-FFFF00000000}"/>
  </bookViews>
  <sheets>
    <sheet name="NEW_CrossTable_maporig_ceov4" sheetId="2" r:id="rId1"/>
    <sheet name="CrossTable_maporigstrata_ceov4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1" l="1"/>
  <c r="C28" i="1" s="1"/>
  <c r="C29" i="1" s="1"/>
  <c r="C30" i="1" s="1"/>
  <c r="D27" i="1"/>
  <c r="D28" i="1" s="1"/>
  <c r="D29" i="1" s="1"/>
  <c r="D30" i="1" s="1"/>
  <c r="E27" i="1"/>
  <c r="E28" i="1" s="1"/>
  <c r="E29" i="1" s="1"/>
  <c r="E30" i="1" s="1"/>
  <c r="F27" i="1"/>
  <c r="F28" i="1" s="1"/>
  <c r="F29" i="1" s="1"/>
  <c r="F30" i="1" s="1"/>
  <c r="G27" i="1"/>
  <c r="G28" i="1" s="1"/>
  <c r="G29" i="1" s="1"/>
  <c r="G30" i="1" s="1"/>
  <c r="H27" i="1"/>
  <c r="B27" i="1"/>
  <c r="B28" i="1" s="1"/>
  <c r="B29" i="1" s="1"/>
  <c r="B30" i="1" s="1"/>
  <c r="C27" i="2"/>
  <c r="D27" i="2"/>
  <c r="E27" i="2"/>
  <c r="F27" i="2"/>
  <c r="G27" i="2"/>
  <c r="H27" i="2"/>
  <c r="B27" i="2"/>
  <c r="F22" i="2"/>
  <c r="H11" i="2"/>
  <c r="G11" i="2"/>
  <c r="F11" i="2"/>
  <c r="E11" i="2"/>
  <c r="D11" i="2"/>
  <c r="C11" i="2"/>
  <c r="B11" i="2"/>
  <c r="M9" i="2"/>
  <c r="J9" i="2"/>
  <c r="M8" i="2"/>
  <c r="J8" i="2"/>
  <c r="M7" i="2"/>
  <c r="E21" i="2" s="1"/>
  <c r="J7" i="2"/>
  <c r="M6" i="2"/>
  <c r="J6" i="2"/>
  <c r="M5" i="2"/>
  <c r="J5" i="2"/>
  <c r="F19" i="2" s="1"/>
  <c r="M4" i="2"/>
  <c r="J4" i="2"/>
  <c r="M3" i="2"/>
  <c r="E17" i="2" s="1"/>
  <c r="J3" i="2"/>
  <c r="H17" i="2" s="1"/>
  <c r="M2" i="2"/>
  <c r="J2" i="2"/>
  <c r="B35" i="1"/>
  <c r="G33" i="1"/>
  <c r="F33" i="1"/>
  <c r="E34" i="1"/>
  <c r="E33" i="1"/>
  <c r="D34" i="1"/>
  <c r="B34" i="1"/>
  <c r="D33" i="1"/>
  <c r="B33" i="1"/>
  <c r="G31" i="1"/>
  <c r="F31" i="1"/>
  <c r="E32" i="1"/>
  <c r="E31" i="1"/>
  <c r="D32" i="1"/>
  <c r="B31" i="1"/>
  <c r="D31" i="1"/>
  <c r="B32" i="1"/>
  <c r="J16" i="1"/>
  <c r="K16" i="1"/>
  <c r="M3" i="1"/>
  <c r="B17" i="1" s="1"/>
  <c r="M4" i="1"/>
  <c r="M5" i="1"/>
  <c r="M6" i="1"/>
  <c r="G20" i="1" s="1"/>
  <c r="M7" i="1"/>
  <c r="D21" i="1" s="1"/>
  <c r="M8" i="1"/>
  <c r="D22" i="1" s="1"/>
  <c r="M9" i="1"/>
  <c r="C23" i="1" s="1"/>
  <c r="M2" i="1"/>
  <c r="D16" i="1" s="1"/>
  <c r="C11" i="1"/>
  <c r="D11" i="1"/>
  <c r="E11" i="1"/>
  <c r="F11" i="1"/>
  <c r="G11" i="1"/>
  <c r="H11" i="1"/>
  <c r="B11" i="1"/>
  <c r="J3" i="1"/>
  <c r="J4" i="1"/>
  <c r="J5" i="1"/>
  <c r="J6" i="1"/>
  <c r="J7" i="1"/>
  <c r="J8" i="1"/>
  <c r="J9" i="1"/>
  <c r="J2" i="1"/>
  <c r="H28" i="1" l="1"/>
  <c r="H29" i="1" s="1"/>
  <c r="H30" i="1" s="1"/>
  <c r="C23" i="2"/>
  <c r="C17" i="2"/>
  <c r="F17" i="2"/>
  <c r="G19" i="2"/>
  <c r="H20" i="2"/>
  <c r="G17" i="2"/>
  <c r="H22" i="2"/>
  <c r="B16" i="2"/>
  <c r="H18" i="2"/>
  <c r="H19" i="2"/>
  <c r="F21" i="2"/>
  <c r="D23" i="2"/>
  <c r="G21" i="2"/>
  <c r="E23" i="2"/>
  <c r="D16" i="2"/>
  <c r="B18" i="2"/>
  <c r="E16" i="2"/>
  <c r="C18" i="2"/>
  <c r="H21" i="2"/>
  <c r="F23" i="2"/>
  <c r="G23" i="2"/>
  <c r="D18" i="2"/>
  <c r="B20" i="2"/>
  <c r="G16" i="2"/>
  <c r="E18" i="2"/>
  <c r="C20" i="2"/>
  <c r="H23" i="2"/>
  <c r="C16" i="2"/>
  <c r="F16" i="2"/>
  <c r="H16" i="2"/>
  <c r="F18" i="2"/>
  <c r="D20" i="2"/>
  <c r="B22" i="2"/>
  <c r="G18" i="2"/>
  <c r="E20" i="2"/>
  <c r="C22" i="2"/>
  <c r="F20" i="2"/>
  <c r="D22" i="2"/>
  <c r="B17" i="2"/>
  <c r="G20" i="2"/>
  <c r="E22" i="2"/>
  <c r="D17" i="2"/>
  <c r="B19" i="2"/>
  <c r="G22" i="2"/>
  <c r="C19" i="2"/>
  <c r="D19" i="2"/>
  <c r="B21" i="2"/>
  <c r="E19" i="2"/>
  <c r="C21" i="2"/>
  <c r="D21" i="2"/>
  <c r="B23" i="2"/>
  <c r="D23" i="1"/>
  <c r="H16" i="1"/>
  <c r="G17" i="1"/>
  <c r="G16" i="1"/>
  <c r="C16" i="1"/>
  <c r="C21" i="1"/>
  <c r="H20" i="1"/>
  <c r="E18" i="1"/>
  <c r="B16" i="1"/>
  <c r="G18" i="1"/>
  <c r="D19" i="1"/>
  <c r="F16" i="1"/>
  <c r="D18" i="1"/>
  <c r="H22" i="1"/>
  <c r="E20" i="1"/>
  <c r="C18" i="1"/>
  <c r="G22" i="1"/>
  <c r="D20" i="1"/>
  <c r="B18" i="1"/>
  <c r="F22" i="1"/>
  <c r="B20" i="1"/>
  <c r="H19" i="1"/>
  <c r="E17" i="1"/>
  <c r="E16" i="1"/>
  <c r="B22" i="1"/>
  <c r="F19" i="1"/>
  <c r="D17" i="1"/>
  <c r="E23" i="1"/>
  <c r="H17" i="1"/>
  <c r="F17" i="1"/>
  <c r="C22" i="1"/>
  <c r="G19" i="1"/>
  <c r="H21" i="1"/>
  <c r="E19" i="1"/>
  <c r="C17" i="1"/>
  <c r="E22" i="1"/>
  <c r="G21" i="1"/>
  <c r="H23" i="1"/>
  <c r="F21" i="1"/>
  <c r="C19" i="1"/>
  <c r="B21" i="1"/>
  <c r="F20" i="1"/>
  <c r="C20" i="1"/>
  <c r="G23" i="1"/>
  <c r="E21" i="1"/>
  <c r="B19" i="1"/>
  <c r="B23" i="1"/>
  <c r="F23" i="1"/>
  <c r="H18" i="1"/>
  <c r="F18" i="1"/>
  <c r="J16" i="2" l="1"/>
  <c r="B31" i="2" s="1"/>
  <c r="D25" i="2"/>
  <c r="D34" i="2"/>
  <c r="K19" i="2"/>
  <c r="J19" i="2"/>
  <c r="D32" i="2" s="1"/>
  <c r="D33" i="2"/>
  <c r="J17" i="2"/>
  <c r="B32" i="2"/>
  <c r="F26" i="2"/>
  <c r="C25" i="2"/>
  <c r="K16" i="2"/>
  <c r="B25" i="2"/>
  <c r="B33" i="2" s="1"/>
  <c r="F25" i="2"/>
  <c r="F33" i="2" s="1"/>
  <c r="D26" i="2"/>
  <c r="J23" i="2"/>
  <c r="G31" i="2" s="1"/>
  <c r="K22" i="2"/>
  <c r="J22" i="2"/>
  <c r="F31" i="2" s="1"/>
  <c r="K23" i="2"/>
  <c r="E26" i="2"/>
  <c r="K20" i="2"/>
  <c r="J20" i="2"/>
  <c r="E31" i="2" s="1"/>
  <c r="K17" i="2"/>
  <c r="E25" i="2"/>
  <c r="E34" i="2" s="1"/>
  <c r="H25" i="2"/>
  <c r="G25" i="2"/>
  <c r="G26" i="2"/>
  <c r="G33" i="2"/>
  <c r="K21" i="2"/>
  <c r="J21" i="2"/>
  <c r="E32" i="2" s="1"/>
  <c r="B26" i="2"/>
  <c r="K18" i="2"/>
  <c r="J18" i="2"/>
  <c r="D31" i="2" s="1"/>
  <c r="B35" i="2"/>
  <c r="D25" i="1"/>
  <c r="E25" i="1"/>
  <c r="E26" i="1"/>
  <c r="F25" i="1"/>
  <c r="G25" i="1"/>
  <c r="C25" i="1"/>
  <c r="K23" i="1"/>
  <c r="G26" i="1"/>
  <c r="F26" i="1"/>
  <c r="H25" i="1"/>
  <c r="J20" i="1"/>
  <c r="K20" i="1"/>
  <c r="K19" i="1"/>
  <c r="J19" i="1"/>
  <c r="K17" i="1"/>
  <c r="J21" i="1"/>
  <c r="K21" i="1"/>
  <c r="K18" i="1"/>
  <c r="B26" i="1"/>
  <c r="J18" i="1"/>
  <c r="J22" i="1"/>
  <c r="K22" i="1"/>
  <c r="J17" i="1"/>
  <c r="J23" i="1"/>
  <c r="D26" i="1"/>
  <c r="B25" i="1"/>
  <c r="E28" i="2" l="1"/>
  <c r="E29" i="2" s="1"/>
  <c r="E30" i="2" s="1"/>
  <c r="C28" i="2"/>
  <c r="C29" i="2" s="1"/>
  <c r="C30" i="2" s="1"/>
  <c r="H28" i="2"/>
  <c r="H29" i="2" s="1"/>
  <c r="H30" i="2" s="1"/>
  <c r="B34" i="2"/>
  <c r="E33" i="2"/>
  <c r="F28" i="2"/>
  <c r="F29" i="2" s="1"/>
  <c r="F30" i="2" s="1"/>
  <c r="D28" i="2"/>
  <c r="D29" i="2" s="1"/>
  <c r="D30" i="2" s="1"/>
  <c r="G28" i="2"/>
  <c r="G29" i="2" s="1"/>
  <c r="G30" i="2" s="1"/>
  <c r="B28" i="2"/>
  <c r="B29" i="2" s="1"/>
  <c r="B30" i="2" s="1"/>
</calcChain>
</file>

<file path=xl/sharedStrings.xml><?xml version="1.0" encoding="utf-8"?>
<sst xmlns="http://schemas.openxmlformats.org/spreadsheetml/2006/main" count="112" uniqueCount="27">
  <si>
    <t>Deforestation</t>
  </si>
  <si>
    <t>Degradation</t>
  </si>
  <si>
    <t>multiple events</t>
  </si>
  <si>
    <t>Reforestation</t>
  </si>
  <si>
    <t>stable forest</t>
  </si>
  <si>
    <t>stable nonforest</t>
  </si>
  <si>
    <t>stable nonforest Agroforestry</t>
  </si>
  <si>
    <t>deforested epoch 1</t>
  </si>
  <si>
    <t>deforested epoch 2 &amp; 3</t>
  </si>
  <si>
    <t>multiple events ecologically possible</t>
  </si>
  <si>
    <t>multiple events noise</t>
  </si>
  <si>
    <t>reforested epoch 1</t>
  </si>
  <si>
    <t>reforested epoch 2 &amp; 3</t>
  </si>
  <si>
    <t>stable non forest</t>
  </si>
  <si>
    <t>pixel count</t>
  </si>
  <si>
    <t>strata name</t>
  </si>
  <si>
    <t>sum</t>
  </si>
  <si>
    <t>weight</t>
  </si>
  <si>
    <t>% area omitted by map</t>
  </si>
  <si>
    <t>% are extra from map</t>
  </si>
  <si>
    <r>
      <t>V(</t>
    </r>
    <r>
      <rPr>
        <i/>
        <sz val="10"/>
        <color theme="1"/>
        <rFont val="Consolas"/>
        <family val="3"/>
      </rPr>
      <t>μ</t>
    </r>
    <r>
      <rPr>
        <sz val="10"/>
        <color theme="1"/>
        <rFont val="Consolas"/>
        <family val="3"/>
      </rPr>
      <t>)</t>
    </r>
  </si>
  <si>
    <r>
      <t>SE(</t>
    </r>
    <r>
      <rPr>
        <i/>
        <sz val="10"/>
        <color theme="1"/>
        <rFont val="Consolas"/>
        <family val="3"/>
      </rPr>
      <t>μ</t>
    </r>
    <r>
      <rPr>
        <sz val="10"/>
        <color theme="1"/>
        <rFont val="Consolas"/>
        <family val="3"/>
      </rPr>
      <t>)</t>
    </r>
  </si>
  <si>
    <t>±95% CI</t>
  </si>
  <si>
    <t>MoE [%]</t>
  </si>
  <si>
    <t>User's acc.</t>
  </si>
  <si>
    <t>Prod. acc.</t>
  </si>
  <si>
    <t>Over. 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</si>
</sst>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i/>
      <sz val="10"/>
      <color theme="1"/>
      <name val="Consolas"/>
      <family val="3"/>
    </font>
    <font>
      <sz val="10"/>
      <color rgb="FFFFFFFF"/>
      <name val="Consolas"/>
      <family val="3"/>
    </font>
    <font>
      <sz val="14"/>
      <color rgb="FF777777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3C78D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4" fontId="0" fillId="33" borderId="0" xfId="0" applyNumberFormat="1" applyFill="1"/>
    <xf numFmtId="165" fontId="0" fillId="0" borderId="0" xfId="1" applyNumberFormat="1" applyFont="1"/>
    <xf numFmtId="0" fontId="0" fillId="33" borderId="0" xfId="0" applyFill="1"/>
    <xf numFmtId="0" fontId="18" fillId="34" borderId="0" xfId="0" applyFont="1" applyFill="1" applyAlignment="1">
      <alignment wrapText="1"/>
    </xf>
    <xf numFmtId="0" fontId="18" fillId="35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20" fillId="38" borderId="0" xfId="0" applyFont="1" applyFill="1" applyAlignment="1">
      <alignment wrapText="1"/>
    </xf>
    <xf numFmtId="0" fontId="20" fillId="39" borderId="0" xfId="0" applyFont="1" applyFill="1" applyAlignment="1">
      <alignment wrapText="1"/>
    </xf>
    <xf numFmtId="0" fontId="21" fillId="0" borderId="0" xfId="0" applyFont="1" applyAlignment="1">
      <alignment vertical="center"/>
    </xf>
    <xf numFmtId="0" fontId="20" fillId="40" borderId="0" xfId="0" applyFont="1" applyFill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85FB-D42A-4D55-BB4E-CE166297A40B}">
  <dimension ref="A1:M35"/>
  <sheetViews>
    <sheetView topLeftCell="A16" zoomScale="74" zoomScaleNormal="74" workbookViewId="0">
      <selection activeCell="K30" sqref="K30"/>
    </sheetView>
  </sheetViews>
  <sheetFormatPr defaultColWidth="16.31640625" defaultRowHeight="14.75" x14ac:dyDescent="0.75"/>
  <cols>
    <col min="1" max="1" width="31.40625" customWidth="1"/>
    <col min="2" max="2" width="12.54296875" customWidth="1"/>
    <col min="3" max="3" width="11.26953125" customWidth="1"/>
    <col min="4" max="4" width="13.5" customWidth="1"/>
    <col min="5" max="5" width="12.26953125" customWidth="1"/>
    <col min="6" max="6" width="11.1796875" customWidth="1"/>
    <col min="7" max="7" width="14.26953125" customWidth="1"/>
    <col min="9" max="9" width="2.81640625" customWidth="1"/>
    <col min="10" max="10" width="10" customWidth="1"/>
    <col min="11" max="11" width="19.1328125" customWidth="1"/>
  </cols>
  <sheetData>
    <row r="1" spans="1:13" x14ac:dyDescent="0.7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16</v>
      </c>
      <c r="K1" t="s">
        <v>15</v>
      </c>
      <c r="L1" t="s">
        <v>14</v>
      </c>
      <c r="M1" t="s">
        <v>17</v>
      </c>
    </row>
    <row r="2" spans="1:13" x14ac:dyDescent="0.75">
      <c r="A2" t="s">
        <v>7</v>
      </c>
      <c r="B2">
        <v>6</v>
      </c>
      <c r="C2">
        <v>5</v>
      </c>
      <c r="D2">
        <v>2</v>
      </c>
      <c r="E2">
        <v>1</v>
      </c>
      <c r="F2">
        <v>6</v>
      </c>
      <c r="G2">
        <v>15</v>
      </c>
      <c r="H2">
        <v>25</v>
      </c>
      <c r="J2">
        <f>SUM(B2:H2)</f>
        <v>60</v>
      </c>
      <c r="K2" t="s">
        <v>7</v>
      </c>
      <c r="L2">
        <v>16600300</v>
      </c>
      <c r="M2">
        <f>L2/SUM($L$2:$L$9)</f>
        <v>5.0242485222015111E-2</v>
      </c>
    </row>
    <row r="3" spans="1:13" x14ac:dyDescent="0.75">
      <c r="A3" t="s">
        <v>8</v>
      </c>
      <c r="B3">
        <v>5</v>
      </c>
      <c r="C3">
        <v>2</v>
      </c>
      <c r="D3">
        <v>0</v>
      </c>
      <c r="E3">
        <v>4</v>
      </c>
      <c r="F3">
        <v>8</v>
      </c>
      <c r="G3">
        <v>24</v>
      </c>
      <c r="H3">
        <v>17</v>
      </c>
      <c r="J3">
        <f t="shared" ref="J3:J9" si="0">SUM(B3:H3)</f>
        <v>60</v>
      </c>
      <c r="K3" t="s">
        <v>8</v>
      </c>
      <c r="L3">
        <v>17853423</v>
      </c>
      <c r="M3">
        <f t="shared" ref="M3:M9" si="1">L3/SUM($L$2:$L$9)</f>
        <v>5.4035188595379882E-2</v>
      </c>
    </row>
    <row r="4" spans="1:13" x14ac:dyDescent="0.75">
      <c r="A4" t="s">
        <v>9</v>
      </c>
      <c r="B4">
        <v>4</v>
      </c>
      <c r="C4">
        <v>2</v>
      </c>
      <c r="D4">
        <v>4</v>
      </c>
      <c r="E4">
        <v>3</v>
      </c>
      <c r="F4">
        <v>14</v>
      </c>
      <c r="G4">
        <v>22</v>
      </c>
      <c r="H4">
        <v>17</v>
      </c>
      <c r="J4">
        <f t="shared" si="0"/>
        <v>66</v>
      </c>
      <c r="K4" t="s">
        <v>11</v>
      </c>
      <c r="L4">
        <v>4822662</v>
      </c>
      <c r="M4">
        <f t="shared" si="1"/>
        <v>1.4596273818290864E-2</v>
      </c>
    </row>
    <row r="5" spans="1:13" x14ac:dyDescent="0.75">
      <c r="A5" t="s">
        <v>10</v>
      </c>
      <c r="B5">
        <v>2</v>
      </c>
      <c r="C5">
        <v>3</v>
      </c>
      <c r="D5">
        <v>4</v>
      </c>
      <c r="E5">
        <v>5</v>
      </c>
      <c r="F5">
        <v>6</v>
      </c>
      <c r="G5">
        <v>24</v>
      </c>
      <c r="H5">
        <v>16</v>
      </c>
      <c r="J5">
        <f t="shared" si="0"/>
        <v>60</v>
      </c>
      <c r="K5" t="s">
        <v>12</v>
      </c>
      <c r="L5">
        <v>21821578</v>
      </c>
      <c r="M5">
        <f t="shared" si="1"/>
        <v>6.6045210639931212E-2</v>
      </c>
    </row>
    <row r="6" spans="1:13" x14ac:dyDescent="0.75">
      <c r="A6" t="s">
        <v>11</v>
      </c>
      <c r="B6">
        <v>0</v>
      </c>
      <c r="C6">
        <v>0</v>
      </c>
      <c r="D6">
        <v>1</v>
      </c>
      <c r="E6">
        <v>15</v>
      </c>
      <c r="F6">
        <v>18</v>
      </c>
      <c r="G6">
        <v>8</v>
      </c>
      <c r="H6">
        <v>18</v>
      </c>
      <c r="J6">
        <f t="shared" si="0"/>
        <v>60</v>
      </c>
      <c r="K6" t="s">
        <v>4</v>
      </c>
      <c r="L6">
        <v>82877320</v>
      </c>
      <c r="M6">
        <f t="shared" si="1"/>
        <v>0.25083658279309512</v>
      </c>
    </row>
    <row r="7" spans="1:13" x14ac:dyDescent="0.75">
      <c r="A7" t="s">
        <v>12</v>
      </c>
      <c r="B7">
        <v>0</v>
      </c>
      <c r="C7">
        <v>2</v>
      </c>
      <c r="D7">
        <v>1</v>
      </c>
      <c r="E7">
        <v>10</v>
      </c>
      <c r="F7">
        <v>3</v>
      </c>
      <c r="G7">
        <v>29</v>
      </c>
      <c r="H7">
        <v>15</v>
      </c>
      <c r="J7">
        <f t="shared" si="0"/>
        <v>60</v>
      </c>
      <c r="K7" t="s">
        <v>13</v>
      </c>
      <c r="L7">
        <v>148198299</v>
      </c>
      <c r="M7">
        <f t="shared" si="1"/>
        <v>0.44853712568057663</v>
      </c>
    </row>
    <row r="8" spans="1:13" x14ac:dyDescent="0.75">
      <c r="A8" t="s">
        <v>4</v>
      </c>
      <c r="B8">
        <v>7</v>
      </c>
      <c r="C8">
        <v>10</v>
      </c>
      <c r="D8">
        <v>0</v>
      </c>
      <c r="E8">
        <v>2</v>
      </c>
      <c r="F8">
        <v>176</v>
      </c>
      <c r="G8">
        <v>7</v>
      </c>
      <c r="H8">
        <v>25</v>
      </c>
      <c r="J8">
        <f t="shared" si="0"/>
        <v>227</v>
      </c>
      <c r="K8" t="s">
        <v>10</v>
      </c>
      <c r="L8">
        <v>14083476</v>
      </c>
      <c r="M8">
        <f t="shared" si="1"/>
        <v>4.2625063089498649E-2</v>
      </c>
    </row>
    <row r="9" spans="1:13" x14ac:dyDescent="0.75">
      <c r="A9" t="s">
        <v>13</v>
      </c>
      <c r="B9">
        <v>2</v>
      </c>
      <c r="C9">
        <v>3</v>
      </c>
      <c r="D9">
        <v>0</v>
      </c>
      <c r="E9">
        <v>5</v>
      </c>
      <c r="F9">
        <v>12</v>
      </c>
      <c r="G9">
        <v>337</v>
      </c>
      <c r="H9">
        <v>48</v>
      </c>
      <c r="J9">
        <f t="shared" si="0"/>
        <v>407</v>
      </c>
      <c r="K9" t="s">
        <v>9</v>
      </c>
      <c r="L9">
        <v>24146582</v>
      </c>
      <c r="M9">
        <f t="shared" si="1"/>
        <v>7.3082070161212515E-2</v>
      </c>
    </row>
    <row r="10" spans="1:13" ht="8" customHeight="1" x14ac:dyDescent="0.75"/>
    <row r="11" spans="1:13" x14ac:dyDescent="0.75">
      <c r="A11" t="s">
        <v>16</v>
      </c>
      <c r="B11">
        <f>SUM(B2:B9)</f>
        <v>26</v>
      </c>
      <c r="C11">
        <f t="shared" ref="C11:H11" si="2">SUM(C2:C9)</f>
        <v>27</v>
      </c>
      <c r="D11">
        <f t="shared" si="2"/>
        <v>12</v>
      </c>
      <c r="E11">
        <f t="shared" si="2"/>
        <v>45</v>
      </c>
      <c r="F11">
        <f t="shared" si="2"/>
        <v>243</v>
      </c>
      <c r="G11">
        <f t="shared" si="2"/>
        <v>466</v>
      </c>
      <c r="H11">
        <f t="shared" si="2"/>
        <v>181</v>
      </c>
    </row>
    <row r="15" spans="1:13" x14ac:dyDescent="0.75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J15" t="s">
        <v>16</v>
      </c>
      <c r="K15" t="s">
        <v>19</v>
      </c>
      <c r="L15" t="s">
        <v>14</v>
      </c>
      <c r="M15" t="s">
        <v>17</v>
      </c>
    </row>
    <row r="16" spans="1:13" x14ac:dyDescent="0.75">
      <c r="A16" t="s">
        <v>7</v>
      </c>
      <c r="B16" s="2">
        <f>$M2*B2/$J2</f>
        <v>5.0242485222015115E-3</v>
      </c>
      <c r="C16" s="1">
        <f t="shared" ref="C16:H16" si="3">$M2*C2/$J2</f>
        <v>4.186873768501259E-3</v>
      </c>
      <c r="D16" s="1">
        <f t="shared" si="3"/>
        <v>1.6747495074005037E-3</v>
      </c>
      <c r="E16" s="1">
        <f t="shared" si="3"/>
        <v>8.3737475370025184E-4</v>
      </c>
      <c r="F16" s="1">
        <f t="shared" si="3"/>
        <v>5.0242485222015115E-3</v>
      </c>
      <c r="G16" s="1">
        <f t="shared" si="3"/>
        <v>1.2560621305503778E-2</v>
      </c>
      <c r="H16" s="1">
        <f t="shared" si="3"/>
        <v>2.0934368842506299E-2</v>
      </c>
      <c r="J16" s="1">
        <f>SUM(B16:H16)</f>
        <v>5.0242485222015118E-2</v>
      </c>
      <c r="K16" s="3">
        <f>SUM(C16:H16)</f>
        <v>4.5218236699813605E-2</v>
      </c>
      <c r="L16">
        <v>16600300</v>
      </c>
      <c r="M16">
        <v>5.0242485222015097E-2</v>
      </c>
    </row>
    <row r="17" spans="1:13" x14ac:dyDescent="0.75">
      <c r="A17" t="s">
        <v>8</v>
      </c>
      <c r="B17" s="2">
        <f t="shared" ref="B17:H21" si="4">$M3*B3/$J3</f>
        <v>4.5029323829483235E-3</v>
      </c>
      <c r="C17" s="1">
        <f t="shared" si="4"/>
        <v>1.8011729531793295E-3</v>
      </c>
      <c r="D17" s="1">
        <f t="shared" si="4"/>
        <v>0</v>
      </c>
      <c r="E17" s="1">
        <f t="shared" si="4"/>
        <v>3.602345906358659E-3</v>
      </c>
      <c r="F17" s="1">
        <f t="shared" si="4"/>
        <v>7.204691812717318E-3</v>
      </c>
      <c r="G17" s="1">
        <f t="shared" si="4"/>
        <v>2.1614075438151956E-2</v>
      </c>
      <c r="H17" s="1">
        <f t="shared" si="4"/>
        <v>1.5309970102024301E-2</v>
      </c>
      <c r="J17" s="1">
        <f t="shared" ref="J17:J23" si="5">SUM(B17:H17)</f>
        <v>5.4035188595379882E-2</v>
      </c>
      <c r="K17" s="3">
        <f>SUM(C17:H17)</f>
        <v>4.9532256212431569E-2</v>
      </c>
      <c r="L17">
        <v>17853423</v>
      </c>
      <c r="M17">
        <v>5.4035188595379882E-2</v>
      </c>
    </row>
    <row r="18" spans="1:13" x14ac:dyDescent="0.75">
      <c r="A18" t="s">
        <v>9</v>
      </c>
      <c r="B18" s="1">
        <f t="shared" si="4"/>
        <v>8.8462265565399177E-4</v>
      </c>
      <c r="C18" s="1">
        <f t="shared" si="4"/>
        <v>4.4231132782699588E-4</v>
      </c>
      <c r="D18" s="2">
        <f t="shared" si="4"/>
        <v>8.8462265565399177E-4</v>
      </c>
      <c r="E18" s="1">
        <f t="shared" si="4"/>
        <v>6.634669917404938E-4</v>
      </c>
      <c r="F18" s="1">
        <f t="shared" si="4"/>
        <v>3.0961792947889711E-3</v>
      </c>
      <c r="G18" s="1">
        <f t="shared" si="4"/>
        <v>4.8654246060969549E-3</v>
      </c>
      <c r="H18" s="1">
        <f t="shared" si="4"/>
        <v>3.7596462865294653E-3</v>
      </c>
      <c r="J18" s="1">
        <f t="shared" si="5"/>
        <v>1.4596273818290866E-2</v>
      </c>
      <c r="K18" s="3">
        <f>SUM(B18:C18)+SUM(E18:H18)</f>
        <v>1.3711651162636873E-2</v>
      </c>
      <c r="L18">
        <v>4822662</v>
      </c>
      <c r="M18">
        <v>1.4596273818290864E-2</v>
      </c>
    </row>
    <row r="19" spans="1:13" x14ac:dyDescent="0.75">
      <c r="A19" t="s">
        <v>10</v>
      </c>
      <c r="B19" s="1">
        <f t="shared" si="4"/>
        <v>2.2015070213310403E-3</v>
      </c>
      <c r="C19" s="1">
        <f t="shared" si="4"/>
        <v>3.3022605319965605E-3</v>
      </c>
      <c r="D19" s="2">
        <f t="shared" si="4"/>
        <v>4.4030140426620807E-3</v>
      </c>
      <c r="E19" s="1">
        <f t="shared" si="4"/>
        <v>5.5037675533276004E-3</v>
      </c>
      <c r="F19" s="1">
        <f t="shared" si="4"/>
        <v>6.604521063993121E-3</v>
      </c>
      <c r="G19" s="1">
        <f t="shared" si="4"/>
        <v>2.6418084255972484E-2</v>
      </c>
      <c r="H19" s="1">
        <f t="shared" si="4"/>
        <v>1.7612056170648323E-2</v>
      </c>
      <c r="J19" s="1">
        <f t="shared" si="5"/>
        <v>6.6045210639931212E-2</v>
      </c>
      <c r="K19" s="3">
        <f>SUM(B19:C19)+SUM(E19:H19)</f>
        <v>6.1642196597269126E-2</v>
      </c>
      <c r="L19">
        <v>21821578</v>
      </c>
      <c r="M19">
        <v>6.6045210639931212E-2</v>
      </c>
    </row>
    <row r="20" spans="1:13" x14ac:dyDescent="0.75">
      <c r="A20" t="s">
        <v>11</v>
      </c>
      <c r="B20" s="1">
        <f t="shared" si="4"/>
        <v>0</v>
      </c>
      <c r="C20" s="1">
        <f t="shared" si="4"/>
        <v>0</v>
      </c>
      <c r="D20" s="1">
        <f t="shared" si="4"/>
        <v>4.1806097132182519E-3</v>
      </c>
      <c r="E20" s="2">
        <f t="shared" si="4"/>
        <v>6.270914569827378E-2</v>
      </c>
      <c r="F20" s="1">
        <f t="shared" si="4"/>
        <v>7.5250974837928544E-2</v>
      </c>
      <c r="G20" s="1">
        <f t="shared" si="4"/>
        <v>3.3444877705746015E-2</v>
      </c>
      <c r="H20" s="1">
        <f t="shared" si="4"/>
        <v>7.5250974837928544E-2</v>
      </c>
      <c r="J20" s="1">
        <f t="shared" si="5"/>
        <v>0.25083658279309512</v>
      </c>
      <c r="K20" s="3">
        <f>SUM(B20:D20)+SUM(F20:H20)</f>
        <v>0.18812743709482138</v>
      </c>
      <c r="L20">
        <v>82877320</v>
      </c>
      <c r="M20">
        <v>0.25083658279309512</v>
      </c>
    </row>
    <row r="21" spans="1:13" x14ac:dyDescent="0.75">
      <c r="A21" t="s">
        <v>12</v>
      </c>
      <c r="B21" s="1">
        <f>$M7*B7/$J7</f>
        <v>0</v>
      </c>
      <c r="C21" s="1">
        <f t="shared" si="4"/>
        <v>1.4951237522685889E-2</v>
      </c>
      <c r="D21" s="1">
        <f t="shared" si="4"/>
        <v>7.4756187613429443E-3</v>
      </c>
      <c r="E21" s="2">
        <f t="shared" si="4"/>
        <v>7.4756187613429448E-2</v>
      </c>
      <c r="F21" s="1">
        <f t="shared" si="4"/>
        <v>2.2426856284028834E-2</v>
      </c>
      <c r="G21" s="1">
        <f t="shared" si="4"/>
        <v>0.21679294407894539</v>
      </c>
      <c r="H21" s="1">
        <f t="shared" si="4"/>
        <v>0.11213428142014416</v>
      </c>
      <c r="J21" s="1">
        <f t="shared" si="5"/>
        <v>0.44853712568057669</v>
      </c>
      <c r="K21" s="3">
        <f>SUM(B21:D21)+SUM(F21:H21)</f>
        <v>0.37378093806714724</v>
      </c>
      <c r="L21">
        <v>148198299</v>
      </c>
      <c r="M21">
        <v>0.44853712568057663</v>
      </c>
    </row>
    <row r="22" spans="1:13" x14ac:dyDescent="0.75">
      <c r="A22" t="s">
        <v>4</v>
      </c>
      <c r="B22" s="1">
        <f t="shared" ref="B22:H23" si="6">$M8*B8/$J8</f>
        <v>1.3144292582664781E-3</v>
      </c>
      <c r="C22" s="1">
        <f t="shared" si="6"/>
        <v>1.8777560832378259E-3</v>
      </c>
      <c r="D22" s="1">
        <f t="shared" si="6"/>
        <v>0</v>
      </c>
      <c r="E22" s="1">
        <f t="shared" si="6"/>
        <v>3.7555121664756519E-4</v>
      </c>
      <c r="F22" s="2">
        <f t="shared" si="6"/>
        <v>3.3048507064985737E-2</v>
      </c>
      <c r="G22" s="1">
        <f t="shared" si="6"/>
        <v>1.3144292582664781E-3</v>
      </c>
      <c r="H22" s="1">
        <f t="shared" si="6"/>
        <v>4.6943902080945647E-3</v>
      </c>
      <c r="J22" s="1">
        <f t="shared" si="5"/>
        <v>4.2625063089498642E-2</v>
      </c>
      <c r="K22" s="3">
        <f>SUM(B22:E22)+SUM(G22:H22)</f>
        <v>9.5765560245129125E-3</v>
      </c>
      <c r="L22">
        <v>14083476</v>
      </c>
      <c r="M22">
        <v>4.2625063089498649E-2</v>
      </c>
    </row>
    <row r="23" spans="1:13" x14ac:dyDescent="0.75">
      <c r="A23" t="s">
        <v>13</v>
      </c>
      <c r="B23" s="1">
        <f t="shared" si="6"/>
        <v>3.5912565189785017E-4</v>
      </c>
      <c r="C23" s="1">
        <f t="shared" si="6"/>
        <v>5.3868847784677534E-4</v>
      </c>
      <c r="D23" s="1">
        <f t="shared" si="6"/>
        <v>0</v>
      </c>
      <c r="E23" s="1">
        <f t="shared" si="6"/>
        <v>8.9781412974462545E-4</v>
      </c>
      <c r="F23" s="1">
        <f t="shared" si="6"/>
        <v>2.1547539113871013E-3</v>
      </c>
      <c r="G23" s="2">
        <f t="shared" si="6"/>
        <v>6.051267234478775E-2</v>
      </c>
      <c r="H23" s="1">
        <f t="shared" si="6"/>
        <v>8.6190156455484054E-3</v>
      </c>
      <c r="J23" s="1">
        <f t="shared" si="5"/>
        <v>7.3082070161212501E-2</v>
      </c>
      <c r="K23" s="3">
        <f>SUM(B23:F23)+H23</f>
        <v>1.2569397816424757E-2</v>
      </c>
      <c r="L23">
        <v>24146582</v>
      </c>
      <c r="M23">
        <v>7.3082070161212515E-2</v>
      </c>
    </row>
    <row r="24" spans="1:13" x14ac:dyDescent="0.75">
      <c r="J24" s="1"/>
    </row>
    <row r="25" spans="1:13" x14ac:dyDescent="0.75">
      <c r="A25" t="s">
        <v>16</v>
      </c>
      <c r="B25">
        <f>SUM(B16:B23)</f>
        <v>1.4286865492299195E-2</v>
      </c>
      <c r="C25">
        <f t="shared" ref="C25:H25" si="7">SUM(C16:C23)</f>
        <v>2.7100300665274638E-2</v>
      </c>
      <c r="D25">
        <f t="shared" si="7"/>
        <v>1.8618614680277774E-2</v>
      </c>
      <c r="E25">
        <f t="shared" si="7"/>
        <v>0.14934565386322243</v>
      </c>
      <c r="F25">
        <f t="shared" si="7"/>
        <v>0.15481073279203114</v>
      </c>
      <c r="G25">
        <f t="shared" si="7"/>
        <v>0.37752312899347079</v>
      </c>
      <c r="H25">
        <f t="shared" si="7"/>
        <v>0.25831470351342406</v>
      </c>
    </row>
    <row r="26" spans="1:13" x14ac:dyDescent="0.75">
      <c r="A26" t="s">
        <v>18</v>
      </c>
      <c r="B26" s="3">
        <f>SUM(B18:B23)</f>
        <v>4.7596845871493605E-3</v>
      </c>
      <c r="C26" s="3"/>
      <c r="D26" s="3">
        <f>SUM(D20:D23)+D17+D16</f>
        <v>1.33309779819617E-2</v>
      </c>
      <c r="E26" s="3">
        <f>SUM(E16:E19)+E22+E23</f>
        <v>1.1880320551519195E-2</v>
      </c>
      <c r="F26" s="3">
        <f>SUM(F16:F21)+F23</f>
        <v>0.1217622257270454</v>
      </c>
      <c r="G26" s="3">
        <f>SUM(G16:G22)</f>
        <v>0.31701045664868305</v>
      </c>
    </row>
    <row r="27" spans="1:13" ht="18" x14ac:dyDescent="0.75">
      <c r="A27" s="5" t="s">
        <v>20</v>
      </c>
      <c r="B27" s="11">
        <f>($M16*B16-B16^2)/($L16-1) + ($M17*B17-B17^2)/($L17-1) +  ($M18*B18-B18^2)/($L18-1) +  ($M19*B19-B19^2)/($L19-1) + ($M20*B20-B20^2)/($L20-1) + ($M21*B21-B21^2)/($L21-1) + ($M22*B22-B22^2)/($L22-1) + ($M23*B23-B23^2)/($L23-1)</f>
        <v>4.00719020099499E-11</v>
      </c>
      <c r="C27" s="11">
        <f t="shared" ref="C27:H27" si="8">($M16*C16-C16^2)/($L16-1) + ($M17*C17-C17^2)/($L17-1) +  ($M18*C18-C18^2)/($L18-1) +  ($M19*C19-C19^2)/($L19-1) + ($M20*C20-C20^2)/($L20-1) + ($M21*C21-C21^2)/($L21-1) + ($M22*C22-C22^2)/($L22-1) + ($M23*C23-C23^2)/($L23-1)</f>
        <v>7.847302782349976E-11</v>
      </c>
      <c r="D27" s="11">
        <f t="shared" si="8"/>
        <v>5.4543503260718333E-11</v>
      </c>
      <c r="E27" s="11">
        <f t="shared" si="8"/>
        <v>3.6455938706565521E-10</v>
      </c>
      <c r="F27" s="11">
        <f t="shared" si="8"/>
        <v>3.1067087992095371E-10</v>
      </c>
      <c r="G27" s="11">
        <f t="shared" si="8"/>
        <v>5.876451969280989E-10</v>
      </c>
      <c r="H27" s="11">
        <f t="shared" si="8"/>
        <v>5.6732706658614974E-10</v>
      </c>
    </row>
    <row r="28" spans="1:13" x14ac:dyDescent="0.75">
      <c r="A28" s="6" t="s">
        <v>21</v>
      </c>
      <c r="B28">
        <f>SQRT(B27)</f>
        <v>6.3302371211471926E-6</v>
      </c>
      <c r="C28">
        <f t="shared" ref="C28:H28" si="9">SQRT(C27)</f>
        <v>8.8585003145848433E-6</v>
      </c>
      <c r="D28">
        <f t="shared" si="9"/>
        <v>7.3853573549773699E-6</v>
      </c>
      <c r="E28">
        <f t="shared" si="9"/>
        <v>1.9093438324871067E-5</v>
      </c>
      <c r="F28">
        <f t="shared" si="9"/>
        <v>1.7625858274732431E-5</v>
      </c>
      <c r="G28">
        <f t="shared" si="9"/>
        <v>2.424139428597495E-5</v>
      </c>
      <c r="H28">
        <f t="shared" si="9"/>
        <v>2.3818628562244085E-5</v>
      </c>
    </row>
    <row r="29" spans="1:13" x14ac:dyDescent="0.75">
      <c r="A29" s="7" t="s">
        <v>22</v>
      </c>
      <c r="B29">
        <f>B28*1.96</f>
        <v>1.2407264757448497E-5</v>
      </c>
      <c r="C29">
        <f t="shared" ref="C29:H29" si="10">C28*1.96</f>
        <v>1.7362660616586293E-5</v>
      </c>
      <c r="D29">
        <f t="shared" si="10"/>
        <v>1.4475300415755644E-5</v>
      </c>
      <c r="E29">
        <f t="shared" si="10"/>
        <v>3.7423139116747294E-5</v>
      </c>
      <c r="F29">
        <f t="shared" si="10"/>
        <v>3.4546682218475564E-5</v>
      </c>
      <c r="G29">
        <f t="shared" si="10"/>
        <v>4.7513132800510901E-5</v>
      </c>
      <c r="H29">
        <f t="shared" si="10"/>
        <v>4.6684511981998405E-5</v>
      </c>
    </row>
    <row r="30" spans="1:13" x14ac:dyDescent="0.75">
      <c r="A30" s="8" t="s">
        <v>23</v>
      </c>
      <c r="B30">
        <f>B29/B25</f>
        <v>8.6843855036895063E-4</v>
      </c>
      <c r="C30">
        <f t="shared" ref="C30:H30" si="11">C29/C25</f>
        <v>6.4068147549500029E-4</v>
      </c>
      <c r="D30">
        <f t="shared" si="11"/>
        <v>7.7746388033310355E-4</v>
      </c>
      <c r="E30">
        <f t="shared" si="11"/>
        <v>2.5058070421668321E-4</v>
      </c>
      <c r="F30">
        <f t="shared" si="11"/>
        <v>2.2315430975244276E-4</v>
      </c>
      <c r="G30">
        <f t="shared" si="11"/>
        <v>1.258548924596687E-4</v>
      </c>
      <c r="H30">
        <f t="shared" si="11"/>
        <v>1.8072727315567738E-4</v>
      </c>
    </row>
    <row r="31" spans="1:13" x14ac:dyDescent="0.75">
      <c r="A31" s="9" t="s">
        <v>24</v>
      </c>
      <c r="B31">
        <f>B16/J16</f>
        <v>9.9999999999999992E-2</v>
      </c>
      <c r="D31">
        <f>D18/J18</f>
        <v>6.0606060606060601E-2</v>
      </c>
      <c r="E31">
        <f>E20/J20</f>
        <v>0.25</v>
      </c>
      <c r="F31">
        <f>F22/J22</f>
        <v>0.77533039647577107</v>
      </c>
      <c r="G31">
        <f>G23/J23</f>
        <v>0.82800982800982803</v>
      </c>
    </row>
    <row r="32" spans="1:13" x14ac:dyDescent="0.75">
      <c r="B32">
        <f>B17/J17</f>
        <v>8.3333333333333329E-2</v>
      </c>
      <c r="D32">
        <f>D19/J19</f>
        <v>6.6666666666666666E-2</v>
      </c>
      <c r="E32">
        <f>E21/J21</f>
        <v>0.16666666666666666</v>
      </c>
    </row>
    <row r="33" spans="1:7" x14ac:dyDescent="0.75">
      <c r="A33" s="10" t="s">
        <v>25</v>
      </c>
      <c r="B33">
        <f>B16/B25</f>
        <v>0.35166905749267718</v>
      </c>
      <c r="D33">
        <f>D18/D25</f>
        <v>4.7512807523271326E-2</v>
      </c>
      <c r="E33">
        <f>E20/E25</f>
        <v>0.41989267230839994</v>
      </c>
      <c r="F33">
        <f>F22/F25</f>
        <v>0.2134768466562475</v>
      </c>
      <c r="G33">
        <f>G23/G25</f>
        <v>0.16028864908521753</v>
      </c>
    </row>
    <row r="34" spans="1:7" x14ac:dyDescent="0.75">
      <c r="B34">
        <f>B17/B25</f>
        <v>0.31517986820660293</v>
      </c>
      <c r="D34">
        <f>D19/D25</f>
        <v>0.23648451392713346</v>
      </c>
      <c r="E34">
        <f>E21/E25</f>
        <v>0.50055817280022474</v>
      </c>
    </row>
    <row r="35" spans="1:7" x14ac:dyDescent="0.75">
      <c r="A35" s="12" t="s">
        <v>26</v>
      </c>
      <c r="B35" s="1">
        <f>B16+B17+D18+D19+E20+E21+F22+G23</f>
        <v>0.24584133032494263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13" zoomScale="74" zoomScaleNormal="74" workbookViewId="0">
      <selection activeCell="K29" sqref="K29"/>
    </sheetView>
  </sheetViews>
  <sheetFormatPr defaultColWidth="16.31640625" defaultRowHeight="14.75" x14ac:dyDescent="0.75"/>
  <cols>
    <col min="1" max="1" width="31.40625" customWidth="1"/>
    <col min="2" max="2" width="12.54296875" customWidth="1"/>
    <col min="3" max="3" width="11.26953125" customWidth="1"/>
    <col min="4" max="4" width="13.5" customWidth="1"/>
    <col min="5" max="5" width="12.26953125" customWidth="1"/>
    <col min="6" max="6" width="11.1796875" customWidth="1"/>
    <col min="7" max="7" width="14.26953125" customWidth="1"/>
    <col min="9" max="9" width="2.81640625" customWidth="1"/>
    <col min="10" max="10" width="10" customWidth="1"/>
    <col min="11" max="11" width="19.1328125" customWidth="1"/>
  </cols>
  <sheetData>
    <row r="1" spans="1:13" x14ac:dyDescent="0.7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16</v>
      </c>
      <c r="K1" t="s">
        <v>15</v>
      </c>
      <c r="L1" t="s">
        <v>14</v>
      </c>
      <c r="M1" t="s">
        <v>17</v>
      </c>
    </row>
    <row r="2" spans="1:13" x14ac:dyDescent="0.75">
      <c r="A2" t="s">
        <v>7</v>
      </c>
      <c r="B2" s="4">
        <v>3</v>
      </c>
      <c r="C2">
        <v>4</v>
      </c>
      <c r="D2">
        <v>2</v>
      </c>
      <c r="E2">
        <v>3</v>
      </c>
      <c r="F2">
        <v>8</v>
      </c>
      <c r="G2">
        <v>15</v>
      </c>
      <c r="H2">
        <v>25</v>
      </c>
      <c r="J2">
        <f>SUM(B2:H2)</f>
        <v>60</v>
      </c>
      <c r="K2" t="s">
        <v>7</v>
      </c>
      <c r="L2">
        <v>16600300</v>
      </c>
      <c r="M2">
        <f>L2/SUM($L$2:$L$9)</f>
        <v>5.0242485222015111E-2</v>
      </c>
    </row>
    <row r="3" spans="1:13" x14ac:dyDescent="0.75">
      <c r="A3" t="s">
        <v>8</v>
      </c>
      <c r="B3" s="4">
        <v>2</v>
      </c>
      <c r="C3">
        <v>1</v>
      </c>
      <c r="D3">
        <v>0</v>
      </c>
      <c r="E3">
        <v>1</v>
      </c>
      <c r="F3">
        <v>16</v>
      </c>
      <c r="G3">
        <v>23</v>
      </c>
      <c r="H3">
        <v>17</v>
      </c>
      <c r="J3">
        <f t="shared" ref="J3:J9" si="0">SUM(B3:H3)</f>
        <v>60</v>
      </c>
      <c r="K3" t="s">
        <v>8</v>
      </c>
      <c r="L3">
        <v>17853423</v>
      </c>
      <c r="M3">
        <f t="shared" ref="M3:M9" si="1">L3/SUM($L$2:$L$9)</f>
        <v>5.4035188595379882E-2</v>
      </c>
    </row>
    <row r="4" spans="1:13" x14ac:dyDescent="0.75">
      <c r="A4" t="s">
        <v>9</v>
      </c>
      <c r="B4">
        <v>3</v>
      </c>
      <c r="C4">
        <v>2</v>
      </c>
      <c r="D4" s="4">
        <v>3</v>
      </c>
      <c r="E4">
        <v>2</v>
      </c>
      <c r="F4">
        <v>18</v>
      </c>
      <c r="G4">
        <v>21</v>
      </c>
      <c r="H4">
        <v>17</v>
      </c>
      <c r="J4">
        <f t="shared" si="0"/>
        <v>66</v>
      </c>
      <c r="K4" t="s">
        <v>11</v>
      </c>
      <c r="L4">
        <v>4822662</v>
      </c>
      <c r="M4">
        <f t="shared" si="1"/>
        <v>1.4596273818290864E-2</v>
      </c>
    </row>
    <row r="5" spans="1:13" x14ac:dyDescent="0.75">
      <c r="A5" t="s">
        <v>10</v>
      </c>
      <c r="B5">
        <v>6</v>
      </c>
      <c r="C5">
        <v>3</v>
      </c>
      <c r="D5" s="4">
        <v>2</v>
      </c>
      <c r="E5">
        <v>3</v>
      </c>
      <c r="F5">
        <v>8</v>
      </c>
      <c r="G5">
        <v>23</v>
      </c>
      <c r="H5">
        <v>15</v>
      </c>
      <c r="J5">
        <f t="shared" si="0"/>
        <v>60</v>
      </c>
      <c r="K5" t="s">
        <v>12</v>
      </c>
      <c r="L5">
        <v>21821578</v>
      </c>
      <c r="M5">
        <f t="shared" si="1"/>
        <v>6.6045210639931212E-2</v>
      </c>
    </row>
    <row r="6" spans="1:13" x14ac:dyDescent="0.75">
      <c r="A6" t="s">
        <v>11</v>
      </c>
      <c r="B6">
        <v>2</v>
      </c>
      <c r="C6">
        <v>2</v>
      </c>
      <c r="D6">
        <v>1</v>
      </c>
      <c r="E6" s="4">
        <v>7</v>
      </c>
      <c r="F6">
        <v>23</v>
      </c>
      <c r="G6">
        <v>8</v>
      </c>
      <c r="H6">
        <v>17</v>
      </c>
      <c r="J6">
        <f t="shared" si="0"/>
        <v>60</v>
      </c>
      <c r="K6" t="s">
        <v>4</v>
      </c>
      <c r="L6">
        <v>82877320</v>
      </c>
      <c r="M6">
        <f t="shared" si="1"/>
        <v>0.25083658279309512</v>
      </c>
    </row>
    <row r="7" spans="1:13" x14ac:dyDescent="0.75">
      <c r="A7" t="s">
        <v>12</v>
      </c>
      <c r="B7">
        <v>0</v>
      </c>
      <c r="C7">
        <v>2</v>
      </c>
      <c r="D7">
        <v>0</v>
      </c>
      <c r="E7" s="4">
        <v>6</v>
      </c>
      <c r="F7">
        <v>8</v>
      </c>
      <c r="G7">
        <v>29</v>
      </c>
      <c r="H7">
        <v>15</v>
      </c>
      <c r="J7">
        <f t="shared" si="0"/>
        <v>60</v>
      </c>
      <c r="K7" t="s">
        <v>13</v>
      </c>
      <c r="L7">
        <v>148198299</v>
      </c>
      <c r="M7">
        <f t="shared" si="1"/>
        <v>0.44853712568057663</v>
      </c>
    </row>
    <row r="8" spans="1:13" x14ac:dyDescent="0.75">
      <c r="A8" t="s">
        <v>4</v>
      </c>
      <c r="B8">
        <v>10</v>
      </c>
      <c r="C8">
        <v>10</v>
      </c>
      <c r="D8">
        <v>0</v>
      </c>
      <c r="E8">
        <v>1</v>
      </c>
      <c r="F8" s="4">
        <v>175</v>
      </c>
      <c r="G8">
        <v>7</v>
      </c>
      <c r="H8">
        <v>24</v>
      </c>
      <c r="J8">
        <f t="shared" si="0"/>
        <v>227</v>
      </c>
      <c r="K8" t="s">
        <v>10</v>
      </c>
      <c r="L8">
        <v>14083476</v>
      </c>
      <c r="M8">
        <f t="shared" si="1"/>
        <v>4.2625063089498649E-2</v>
      </c>
    </row>
    <row r="9" spans="1:13" x14ac:dyDescent="0.75">
      <c r="A9" t="s">
        <v>13</v>
      </c>
      <c r="B9">
        <v>5</v>
      </c>
      <c r="C9">
        <v>2</v>
      </c>
      <c r="D9">
        <v>0</v>
      </c>
      <c r="E9">
        <v>5</v>
      </c>
      <c r="F9">
        <v>12</v>
      </c>
      <c r="G9" s="4">
        <v>335</v>
      </c>
      <c r="H9">
        <v>48</v>
      </c>
      <c r="J9">
        <f t="shared" si="0"/>
        <v>407</v>
      </c>
      <c r="K9" t="s">
        <v>9</v>
      </c>
      <c r="L9">
        <v>24146582</v>
      </c>
      <c r="M9">
        <f t="shared" si="1"/>
        <v>7.3082070161212515E-2</v>
      </c>
    </row>
    <row r="10" spans="1:13" ht="8" customHeight="1" x14ac:dyDescent="0.75"/>
    <row r="11" spans="1:13" x14ac:dyDescent="0.75">
      <c r="A11" t="s">
        <v>16</v>
      </c>
      <c r="B11">
        <f>SUM(B2:B9)</f>
        <v>31</v>
      </c>
      <c r="C11">
        <f t="shared" ref="C11:H11" si="2">SUM(C2:C9)</f>
        <v>26</v>
      </c>
      <c r="D11">
        <f t="shared" si="2"/>
        <v>8</v>
      </c>
      <c r="E11">
        <f t="shared" si="2"/>
        <v>28</v>
      </c>
      <c r="F11">
        <f t="shared" si="2"/>
        <v>268</v>
      </c>
      <c r="G11">
        <f t="shared" si="2"/>
        <v>461</v>
      </c>
      <c r="H11">
        <f t="shared" si="2"/>
        <v>178</v>
      </c>
    </row>
    <row r="15" spans="1:13" x14ac:dyDescent="0.75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J15" t="s">
        <v>16</v>
      </c>
      <c r="K15" t="s">
        <v>19</v>
      </c>
      <c r="L15" t="s">
        <v>14</v>
      </c>
      <c r="M15" t="s">
        <v>17</v>
      </c>
    </row>
    <row r="16" spans="1:13" x14ac:dyDescent="0.75">
      <c r="A16" t="s">
        <v>7</v>
      </c>
      <c r="B16" s="2">
        <f>$M2*B2/$J2</f>
        <v>2.5121242611007557E-3</v>
      </c>
      <c r="C16" s="1">
        <f t="shared" ref="C16:H16" si="3">$M2*C2/$J2</f>
        <v>3.3494990148010073E-3</v>
      </c>
      <c r="D16" s="1">
        <f t="shared" si="3"/>
        <v>1.6747495074005037E-3</v>
      </c>
      <c r="E16" s="1">
        <f t="shared" si="3"/>
        <v>2.5121242611007557E-3</v>
      </c>
      <c r="F16" s="1">
        <f t="shared" si="3"/>
        <v>6.6989980296020147E-3</v>
      </c>
      <c r="G16" s="1">
        <f t="shared" si="3"/>
        <v>1.2560621305503778E-2</v>
      </c>
      <c r="H16" s="1">
        <f t="shared" si="3"/>
        <v>2.0934368842506299E-2</v>
      </c>
      <c r="J16" s="1">
        <f>SUM(B16:H16)</f>
        <v>5.0242485222015118E-2</v>
      </c>
      <c r="K16" s="3">
        <f>SUM(C16:H16)</f>
        <v>4.7730360960914361E-2</v>
      </c>
      <c r="L16">
        <v>16600300</v>
      </c>
      <c r="M16">
        <v>5.0242485222015097E-2</v>
      </c>
    </row>
    <row r="17" spans="1:13" x14ac:dyDescent="0.75">
      <c r="A17" t="s">
        <v>8</v>
      </c>
      <c r="B17" s="2">
        <f t="shared" ref="B17:H17" si="4">$M3*B3/$J3</f>
        <v>1.8011729531793295E-3</v>
      </c>
      <c r="C17" s="1">
        <f t="shared" si="4"/>
        <v>9.0058647658966475E-4</v>
      </c>
      <c r="D17" s="1">
        <f t="shared" si="4"/>
        <v>0</v>
      </c>
      <c r="E17" s="1">
        <f t="shared" si="4"/>
        <v>9.0058647658966475E-4</v>
      </c>
      <c r="F17" s="1">
        <f t="shared" si="4"/>
        <v>1.4409383625434636E-2</v>
      </c>
      <c r="G17" s="1">
        <f t="shared" si="4"/>
        <v>2.0713488961562287E-2</v>
      </c>
      <c r="H17" s="1">
        <f t="shared" si="4"/>
        <v>1.5309970102024301E-2</v>
      </c>
      <c r="J17" s="1">
        <f t="shared" ref="J17:J23" si="5">SUM(B17:H17)</f>
        <v>5.4035188595379882E-2</v>
      </c>
      <c r="K17" s="3">
        <f>SUM(C17:H17)</f>
        <v>5.2234015642200551E-2</v>
      </c>
      <c r="L17">
        <v>17853423</v>
      </c>
      <c r="M17">
        <v>5.4035188595379882E-2</v>
      </c>
    </row>
    <row r="18" spans="1:13" x14ac:dyDescent="0.75">
      <c r="A18" t="s">
        <v>9</v>
      </c>
      <c r="B18" s="1">
        <f t="shared" ref="B18:H18" si="6">$M4*B4/$J4</f>
        <v>6.634669917404938E-4</v>
      </c>
      <c r="C18" s="1">
        <f t="shared" si="6"/>
        <v>4.4231132782699588E-4</v>
      </c>
      <c r="D18" s="2">
        <f t="shared" si="6"/>
        <v>6.634669917404938E-4</v>
      </c>
      <c r="E18" s="1">
        <f t="shared" si="6"/>
        <v>4.4231132782699588E-4</v>
      </c>
      <c r="F18" s="1">
        <f t="shared" si="6"/>
        <v>3.980801950442963E-3</v>
      </c>
      <c r="G18" s="1">
        <f t="shared" si="6"/>
        <v>4.6442689421834571E-3</v>
      </c>
      <c r="H18" s="1">
        <f t="shared" si="6"/>
        <v>3.7596462865294653E-3</v>
      </c>
      <c r="J18" s="1">
        <f t="shared" si="5"/>
        <v>1.4596273818290866E-2</v>
      </c>
      <c r="K18" s="3">
        <f>SUM(B18:C18)+SUM(E18:H18)</f>
        <v>1.3932806826550369E-2</v>
      </c>
      <c r="L18">
        <v>4822662</v>
      </c>
      <c r="M18">
        <v>1.4596273818290864E-2</v>
      </c>
    </row>
    <row r="19" spans="1:13" x14ac:dyDescent="0.75">
      <c r="A19" t="s">
        <v>10</v>
      </c>
      <c r="B19" s="1">
        <f t="shared" ref="B19:H19" si="7">$M5*B5/$J5</f>
        <v>6.604521063993121E-3</v>
      </c>
      <c r="C19" s="1">
        <f t="shared" si="7"/>
        <v>3.3022605319965605E-3</v>
      </c>
      <c r="D19" s="2">
        <f t="shared" si="7"/>
        <v>2.2015070213310403E-3</v>
      </c>
      <c r="E19" s="1">
        <f t="shared" si="7"/>
        <v>3.3022605319965605E-3</v>
      </c>
      <c r="F19" s="1">
        <f t="shared" si="7"/>
        <v>8.8060280853241614E-3</v>
      </c>
      <c r="G19" s="1">
        <f t="shared" si="7"/>
        <v>2.5317330745306964E-2</v>
      </c>
      <c r="H19" s="1">
        <f t="shared" si="7"/>
        <v>1.6511302659982803E-2</v>
      </c>
      <c r="J19" s="1">
        <f t="shared" si="5"/>
        <v>6.6045210639931212E-2</v>
      </c>
      <c r="K19" s="3">
        <f>SUM(B19:C19)+SUM(E19:H19)</f>
        <v>6.3843703618600173E-2</v>
      </c>
      <c r="L19">
        <v>21821578</v>
      </c>
      <c r="M19">
        <v>6.6045210639931212E-2</v>
      </c>
    </row>
    <row r="20" spans="1:13" x14ac:dyDescent="0.75">
      <c r="A20" t="s">
        <v>11</v>
      </c>
      <c r="B20" s="1">
        <f t="shared" ref="B20:H20" si="8">$M6*B6/$J6</f>
        <v>8.3612194264365038E-3</v>
      </c>
      <c r="C20" s="1">
        <f t="shared" si="8"/>
        <v>8.3612194264365038E-3</v>
      </c>
      <c r="D20" s="1">
        <f t="shared" si="8"/>
        <v>4.1806097132182519E-3</v>
      </c>
      <c r="E20" s="2">
        <f t="shared" si="8"/>
        <v>2.9264267992527761E-2</v>
      </c>
      <c r="F20" s="1">
        <f t="shared" si="8"/>
        <v>9.6154023404019809E-2</v>
      </c>
      <c r="G20" s="1">
        <f t="shared" si="8"/>
        <v>3.3444877705746015E-2</v>
      </c>
      <c r="H20" s="1">
        <f t="shared" si="8"/>
        <v>7.107036512471028E-2</v>
      </c>
      <c r="J20" s="1">
        <f t="shared" si="5"/>
        <v>0.25083658279309512</v>
      </c>
      <c r="K20" s="3">
        <f>SUM(B20:D20)+SUM(F20:H20)</f>
        <v>0.22157231480056738</v>
      </c>
      <c r="L20">
        <v>82877320</v>
      </c>
      <c r="M20">
        <v>0.25083658279309512</v>
      </c>
    </row>
    <row r="21" spans="1:13" x14ac:dyDescent="0.75">
      <c r="A21" t="s">
        <v>12</v>
      </c>
      <c r="B21" s="1">
        <f>$M7*B7/$J7</f>
        <v>0</v>
      </c>
      <c r="C21" s="1">
        <f t="shared" ref="C21:H21" si="9">$M7*C7/$J7</f>
        <v>1.4951237522685889E-2</v>
      </c>
      <c r="D21" s="1">
        <f t="shared" si="9"/>
        <v>0</v>
      </c>
      <c r="E21" s="2">
        <f t="shared" si="9"/>
        <v>4.4853712568057667E-2</v>
      </c>
      <c r="F21" s="1">
        <f t="shared" si="9"/>
        <v>5.9804950090743554E-2</v>
      </c>
      <c r="G21" s="1">
        <f t="shared" si="9"/>
        <v>0.21679294407894539</v>
      </c>
      <c r="H21" s="1">
        <f t="shared" si="9"/>
        <v>0.11213428142014416</v>
      </c>
      <c r="J21" s="1">
        <f t="shared" si="5"/>
        <v>0.44853712568057663</v>
      </c>
      <c r="K21" s="3">
        <f>SUM(B21:D21)+SUM(F21:H21)</f>
        <v>0.40368341311251899</v>
      </c>
      <c r="L21">
        <v>148198299</v>
      </c>
      <c r="M21">
        <v>0.44853712568057663</v>
      </c>
    </row>
    <row r="22" spans="1:13" x14ac:dyDescent="0.75">
      <c r="A22" t="s">
        <v>4</v>
      </c>
      <c r="B22" s="1">
        <f t="shared" ref="B22:H22" si="10">$M8*B8/$J8</f>
        <v>1.8777560832378259E-3</v>
      </c>
      <c r="C22" s="1">
        <f t="shared" si="10"/>
        <v>1.8777560832378259E-3</v>
      </c>
      <c r="D22" s="1">
        <f t="shared" si="10"/>
        <v>0</v>
      </c>
      <c r="E22" s="1">
        <f t="shared" si="10"/>
        <v>1.8777560832378259E-4</v>
      </c>
      <c r="F22" s="2">
        <f t="shared" si="10"/>
        <v>3.2860731456661955E-2</v>
      </c>
      <c r="G22" s="1">
        <f t="shared" si="10"/>
        <v>1.3144292582664781E-3</v>
      </c>
      <c r="H22" s="1">
        <f t="shared" si="10"/>
        <v>4.5066145997707825E-3</v>
      </c>
      <c r="J22" s="1">
        <f t="shared" si="5"/>
        <v>4.2625063089498649E-2</v>
      </c>
      <c r="K22" s="3">
        <f>SUM(B22:E22)+SUM(G22:H22)</f>
        <v>9.7643316328366939E-3</v>
      </c>
      <c r="L22">
        <v>14083476</v>
      </c>
      <c r="M22">
        <v>4.2625063089498649E-2</v>
      </c>
    </row>
    <row r="23" spans="1:13" x14ac:dyDescent="0.75">
      <c r="A23" t="s">
        <v>13</v>
      </c>
      <c r="B23" s="1">
        <f t="shared" ref="B23:H23" si="11">$M9*B9/$J9</f>
        <v>8.9781412974462545E-4</v>
      </c>
      <c r="C23" s="1">
        <f t="shared" si="11"/>
        <v>3.5912565189785017E-4</v>
      </c>
      <c r="D23" s="1">
        <f t="shared" si="11"/>
        <v>0</v>
      </c>
      <c r="E23" s="1">
        <f t="shared" si="11"/>
        <v>8.9781412974462545E-4</v>
      </c>
      <c r="F23" s="1">
        <f t="shared" si="11"/>
        <v>2.1547539113871013E-3</v>
      </c>
      <c r="G23" s="2">
        <f t="shared" si="11"/>
        <v>6.0153546692889907E-2</v>
      </c>
      <c r="H23" s="1">
        <f t="shared" si="11"/>
        <v>8.6190156455484054E-3</v>
      </c>
      <c r="J23" s="1">
        <f t="shared" si="5"/>
        <v>7.3082070161212515E-2</v>
      </c>
      <c r="K23" s="3">
        <f>SUM(B23:F23)+H23</f>
        <v>1.2928523468322607E-2</v>
      </c>
      <c r="L23">
        <v>24146582</v>
      </c>
      <c r="M23">
        <v>7.3082070161212515E-2</v>
      </c>
    </row>
    <row r="24" spans="1:13" x14ac:dyDescent="0.75">
      <c r="J24" s="1"/>
    </row>
    <row r="25" spans="1:13" x14ac:dyDescent="0.75">
      <c r="A25" t="s">
        <v>16</v>
      </c>
      <c r="B25">
        <f>SUM(B16:B23)</f>
        <v>2.2718074909432655E-2</v>
      </c>
      <c r="C25">
        <f t="shared" ref="C25:H25" si="12">SUM(C16:C23)</f>
        <v>3.3543996035472298E-2</v>
      </c>
      <c r="D25">
        <f t="shared" si="12"/>
        <v>8.7203332336902896E-3</v>
      </c>
      <c r="E25">
        <f t="shared" si="12"/>
        <v>8.2360852896167819E-2</v>
      </c>
      <c r="F25">
        <f t="shared" si="12"/>
        <v>0.2248696705536162</v>
      </c>
      <c r="G25">
        <f t="shared" si="12"/>
        <v>0.3749415076904043</v>
      </c>
      <c r="H25">
        <f t="shared" si="12"/>
        <v>0.25284556468121649</v>
      </c>
    </row>
    <row r="26" spans="1:13" x14ac:dyDescent="0.75">
      <c r="A26" t="s">
        <v>18</v>
      </c>
      <c r="B26" s="3">
        <f>SUM(B18:B23)</f>
        <v>1.8404777695152568E-2</v>
      </c>
      <c r="C26" s="3"/>
      <c r="D26" s="3">
        <f>SUM(D20:D23)+D17+D16</f>
        <v>5.8553592206187551E-3</v>
      </c>
      <c r="E26" s="3">
        <f>SUM(E16:E19)+E22+E23</f>
        <v>8.2428723355823848E-3</v>
      </c>
      <c r="F26" s="3">
        <f>SUM(F16:F21)+F23</f>
        <v>0.19200893909695424</v>
      </c>
      <c r="G26" s="3">
        <f>SUM(G16:G22)</f>
        <v>0.31478796099751438</v>
      </c>
    </row>
    <row r="27" spans="1:13" ht="18" x14ac:dyDescent="0.75">
      <c r="A27" s="5" t="s">
        <v>20</v>
      </c>
      <c r="B27" s="11">
        <f>($M16*B16-B16^2)/($L16-1) + ($M17*B17-B17^2)/($L17-1) +  ($M18*B18-B18^2)/($L18-1) +  ($M19*B19-B19^2)/($L19-1) + ($M20*B20-B20^2)/($L20-1) + ($M21*B21-B21^2)/($L21-1) + ($M22*B22-B22^2)/($L22-1) + ($M23*B23-B23^2)/($L23-1)</f>
        <v>6.4979197273924375E-11</v>
      </c>
      <c r="C27" s="11">
        <f t="shared" ref="C27:H27" si="13">($M16*C16-C16^2)/($L16-1) + ($M17*C17-C17^2)/($L17-1) +  ($M18*C18-C18^2)/($L18-1) +  ($M19*C19-C19^2)/($L19-1) + ($M20*C20-C20^2)/($L20-1) + ($M21*C21-C21^2)/($L21-1) + ($M22*C22-C22^2)/($L22-1) + ($M23*C23-C23^2)/($L23-1)</f>
        <v>9.7655109242975377E-11</v>
      </c>
      <c r="D27" s="11">
        <f t="shared" si="13"/>
        <v>2.5699749069395936E-11</v>
      </c>
      <c r="E27" s="11">
        <f t="shared" si="13"/>
        <v>2.243629302928661E-10</v>
      </c>
      <c r="F27" s="11">
        <f t="shared" si="13"/>
        <v>4.4686079203461134E-10</v>
      </c>
      <c r="G27" s="11">
        <f t="shared" si="13"/>
        <v>5.8680723900280541E-10</v>
      </c>
      <c r="H27" s="11">
        <f t="shared" si="13"/>
        <v>5.5999907776411547E-10</v>
      </c>
    </row>
    <row r="28" spans="1:13" x14ac:dyDescent="0.75">
      <c r="A28" s="6" t="s">
        <v>21</v>
      </c>
      <c r="B28">
        <f>SQRT(B27)</f>
        <v>8.0609675147543168E-6</v>
      </c>
      <c r="C28">
        <f t="shared" ref="C28:H28" si="14">SQRT(C27)</f>
        <v>9.8820599696103539E-6</v>
      </c>
      <c r="D28">
        <f t="shared" si="14"/>
        <v>5.0694919932273229E-6</v>
      </c>
      <c r="E28">
        <f t="shared" si="14"/>
        <v>1.4978749290006363E-5</v>
      </c>
      <c r="F28">
        <f t="shared" si="14"/>
        <v>2.1139082100096289E-5</v>
      </c>
      <c r="G28">
        <f t="shared" si="14"/>
        <v>2.4224104503630376E-5</v>
      </c>
      <c r="H28">
        <f t="shared" si="14"/>
        <v>2.36642996466009E-5</v>
      </c>
    </row>
    <row r="29" spans="1:13" x14ac:dyDescent="0.75">
      <c r="A29" s="7" t="s">
        <v>22</v>
      </c>
      <c r="B29">
        <f>B28*1.96</f>
        <v>1.5799496328918461E-5</v>
      </c>
      <c r="C29">
        <f t="shared" ref="C29:H29" si="15">C28*1.96</f>
        <v>1.9368837540436292E-5</v>
      </c>
      <c r="D29">
        <f t="shared" si="15"/>
        <v>9.9362043067255523E-6</v>
      </c>
      <c r="E29">
        <f t="shared" si="15"/>
        <v>2.9358348608412471E-5</v>
      </c>
      <c r="F29">
        <f t="shared" si="15"/>
        <v>4.1432600916188722E-5</v>
      </c>
      <c r="G29">
        <f t="shared" si="15"/>
        <v>4.7479244827115535E-5</v>
      </c>
      <c r="H29">
        <f t="shared" si="15"/>
        <v>4.6382027307337765E-5</v>
      </c>
    </row>
    <row r="30" spans="1:13" x14ac:dyDescent="0.75">
      <c r="A30" s="8" t="s">
        <v>23</v>
      </c>
      <c r="B30">
        <f>B29/B25</f>
        <v>6.9545929361991988E-4</v>
      </c>
      <c r="C30">
        <f t="shared" ref="C30:H30" si="16">C29/C25</f>
        <v>5.7741592623472831E-4</v>
      </c>
      <c r="D30">
        <f t="shared" si="16"/>
        <v>1.1394294278041859E-3</v>
      </c>
      <c r="E30">
        <f t="shared" si="16"/>
        <v>3.5645998767672415E-4</v>
      </c>
      <c r="F30">
        <f t="shared" si="16"/>
        <v>1.84251619234306E-4</v>
      </c>
      <c r="G30">
        <f t="shared" si="16"/>
        <v>1.2663107138919378E-4</v>
      </c>
      <c r="H30">
        <f t="shared" si="16"/>
        <v>1.8344014602674744E-4</v>
      </c>
    </row>
    <row r="31" spans="1:13" x14ac:dyDescent="0.75">
      <c r="A31" s="9" t="s">
        <v>24</v>
      </c>
      <c r="B31">
        <f>B16/J16</f>
        <v>4.9999999999999996E-2</v>
      </c>
      <c r="D31">
        <f>D18/J18</f>
        <v>4.5454545454545449E-2</v>
      </c>
      <c r="E31">
        <f>E20/J20</f>
        <v>0.11666666666666665</v>
      </c>
      <c r="F31">
        <f>F22/J22</f>
        <v>0.77092511013215859</v>
      </c>
      <c r="G31">
        <f>G23/J23</f>
        <v>0.82309582309582308</v>
      </c>
    </row>
    <row r="32" spans="1:13" x14ac:dyDescent="0.75">
      <c r="B32">
        <f>B17/J17</f>
        <v>3.3333333333333333E-2</v>
      </c>
      <c r="D32">
        <f>D19/J19</f>
        <v>3.3333333333333333E-2</v>
      </c>
      <c r="E32">
        <f>E21/J21</f>
        <v>0.1</v>
      </c>
    </row>
    <row r="33" spans="1:7" x14ac:dyDescent="0.75">
      <c r="A33" s="10" t="s">
        <v>25</v>
      </c>
      <c r="B33">
        <f>B16/B25</f>
        <v>0.11057821893428608</v>
      </c>
      <c r="D33">
        <f>D18/D25</f>
        <v>7.6082756697558721E-2</v>
      </c>
      <c r="E33">
        <f>E20/E25</f>
        <v>0.35531768993967527</v>
      </c>
      <c r="F33">
        <f>F22/F25</f>
        <v>0.14613234135026179</v>
      </c>
      <c r="G33">
        <f>G23/G25</f>
        <v>0.16043448233680155</v>
      </c>
    </row>
    <row r="34" spans="1:7" x14ac:dyDescent="0.75">
      <c r="B34">
        <f>B17/B25</f>
        <v>7.9283696367753134E-2</v>
      </c>
      <c r="D34">
        <f>D19/D25</f>
        <v>0.25245675392606548</v>
      </c>
      <c r="E34">
        <f>E21/E25</f>
        <v>0.54459990384757995</v>
      </c>
    </row>
    <row r="35" spans="1:7" x14ac:dyDescent="0.75">
      <c r="A35" s="12" t="s">
        <v>26</v>
      </c>
      <c r="B35" s="1">
        <f>B16+B17+D18+D19+E20+E21+F22+G23</f>
        <v>0.17431052993748891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NEW_CrossTable_maporig_ceov4</vt:lpstr>
      <vt:lpstr>CrossTable_maporigstrata_ceov4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2022-03-18T19:53:32Z</dcterms:created>
  <dcterms:modified xsi:type="dcterms:W3CDTF">2022-03-31T14:49:42Z</dcterms:modified>
</cp:coreProperties>
</file>