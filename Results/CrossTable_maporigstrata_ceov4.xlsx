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13_ncr:40009_{E53F50F6-27F5-4722-B42B-929C5FDD6FF1}" xr6:coauthVersionLast="47" xr6:coauthVersionMax="47" xr10:uidLastSave="{00000000-0000-0000-0000-000000000000}"/>
  <bookViews>
    <workbookView xWindow="245" yWindow="700" windowWidth="19400" windowHeight="9110"/>
  </bookViews>
  <sheets>
    <sheet name="CrossTable_maporigstrata_ceov4" sheetId="1" r:id="rId1"/>
  </sheets>
  <calcPr calcId="0"/>
</workbook>
</file>

<file path=xl/calcChain.xml><?xml version="1.0" encoding="utf-8"?>
<calcChain xmlns="http://schemas.openxmlformats.org/spreadsheetml/2006/main">
  <c r="K23" i="1" l="1"/>
  <c r="K22" i="1"/>
  <c r="K21" i="1"/>
  <c r="K20" i="1"/>
  <c r="K19" i="1"/>
  <c r="K18" i="1"/>
  <c r="K17" i="1"/>
  <c r="K16" i="1"/>
  <c r="G26" i="1"/>
  <c r="F26" i="1"/>
  <c r="E26" i="1"/>
  <c r="D26" i="1"/>
  <c r="B26" i="1"/>
  <c r="J17" i="1"/>
  <c r="J18" i="1"/>
  <c r="J19" i="1"/>
  <c r="J20" i="1"/>
  <c r="J21" i="1"/>
  <c r="J22" i="1"/>
  <c r="J23" i="1"/>
  <c r="J16" i="1"/>
  <c r="B21" i="1"/>
  <c r="B17" i="1"/>
  <c r="B25" i="1" s="1"/>
  <c r="C17" i="1"/>
  <c r="D17" i="1"/>
  <c r="E17" i="1"/>
  <c r="F17" i="1"/>
  <c r="G17" i="1"/>
  <c r="H17" i="1"/>
  <c r="B18" i="1"/>
  <c r="C18" i="1"/>
  <c r="D18" i="1"/>
  <c r="D25" i="1" s="1"/>
  <c r="E18" i="1"/>
  <c r="E25" i="1" s="1"/>
  <c r="F18" i="1"/>
  <c r="F25" i="1" s="1"/>
  <c r="G18" i="1"/>
  <c r="H18" i="1"/>
  <c r="H25" i="1" s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C16" i="1"/>
  <c r="C25" i="1" s="1"/>
  <c r="D16" i="1"/>
  <c r="E16" i="1"/>
  <c r="F16" i="1"/>
  <c r="G16" i="1"/>
  <c r="H16" i="1"/>
  <c r="B16" i="1"/>
  <c r="M3" i="1"/>
  <c r="M4" i="1"/>
  <c r="M5" i="1"/>
  <c r="M6" i="1"/>
  <c r="M7" i="1"/>
  <c r="M8" i="1"/>
  <c r="M9" i="1"/>
  <c r="M2" i="1"/>
  <c r="C11" i="1"/>
  <c r="D11" i="1"/>
  <c r="E11" i="1"/>
  <c r="F11" i="1"/>
  <c r="G11" i="1"/>
  <c r="H11" i="1"/>
  <c r="B11" i="1"/>
  <c r="J3" i="1"/>
  <c r="J4" i="1"/>
  <c r="J5" i="1"/>
  <c r="J6" i="1"/>
  <c r="J7" i="1"/>
  <c r="J8" i="1"/>
  <c r="J9" i="1"/>
  <c r="J2" i="1"/>
  <c r="G25" i="1" l="1"/>
</calcChain>
</file>

<file path=xl/sharedStrings.xml><?xml version="1.0" encoding="utf-8"?>
<sst xmlns="http://schemas.openxmlformats.org/spreadsheetml/2006/main" count="46" uniqueCount="20">
  <si>
    <t>Deforestation</t>
  </si>
  <si>
    <t>Degradation</t>
  </si>
  <si>
    <t>multiple events</t>
  </si>
  <si>
    <t>Reforestation</t>
  </si>
  <si>
    <t>stable forest</t>
  </si>
  <si>
    <t>stable nonforest</t>
  </si>
  <si>
    <t>stable nonforest Agroforestry</t>
  </si>
  <si>
    <t>deforested epoch 1</t>
  </si>
  <si>
    <t>deforested epoch 2 &amp; 3</t>
  </si>
  <si>
    <t>multiple events ecologically possible</t>
  </si>
  <si>
    <t>multiple events noise</t>
  </si>
  <si>
    <t>reforested epoch 1</t>
  </si>
  <si>
    <t>reforested epoch 2 &amp; 3</t>
  </si>
  <si>
    <t>stable non forest</t>
  </si>
  <si>
    <t>pixel count</t>
  </si>
  <si>
    <t>strata name</t>
  </si>
  <si>
    <t>sum</t>
  </si>
  <si>
    <t>weight</t>
  </si>
  <si>
    <t>% area omitted by map</t>
  </si>
  <si>
    <t>% are extra from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</si>
</sst>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000"/>
    <numFmt numFmtId="169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8" fontId="0" fillId="0" borderId="0" xfId="0" applyNumberFormat="1"/>
    <xf numFmtId="168" fontId="0" fillId="33" borderId="0" xfId="0" applyNumberFormat="1" applyFill="1"/>
    <xf numFmtId="169" fontId="0" fillId="0" borderId="0" xfId="1" applyNumberFormat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workbookViewId="0">
      <selection activeCell="G9" sqref="G9"/>
    </sheetView>
  </sheetViews>
  <sheetFormatPr defaultColWidth="16.31640625" defaultRowHeight="14.75" x14ac:dyDescent="0.75"/>
  <cols>
    <col min="1" max="1" width="31.40625" customWidth="1"/>
    <col min="2" max="2" width="12.54296875" customWidth="1"/>
    <col min="3" max="3" width="11.26953125" customWidth="1"/>
    <col min="4" max="4" width="13.5" customWidth="1"/>
    <col min="5" max="5" width="12.26953125" customWidth="1"/>
    <col min="6" max="6" width="11.1796875" customWidth="1"/>
    <col min="7" max="7" width="14.26953125" customWidth="1"/>
    <col min="9" max="9" width="2.81640625" customWidth="1"/>
    <col min="10" max="10" width="10" customWidth="1"/>
    <col min="11" max="11" width="19.1328125" customWidth="1"/>
  </cols>
  <sheetData>
    <row r="1" spans="1:13" x14ac:dyDescent="0.7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16</v>
      </c>
      <c r="K1" t="s">
        <v>15</v>
      </c>
      <c r="L1" t="s">
        <v>14</v>
      </c>
      <c r="M1" t="s">
        <v>17</v>
      </c>
    </row>
    <row r="2" spans="1:13" x14ac:dyDescent="0.75">
      <c r="A2" t="s">
        <v>7</v>
      </c>
      <c r="B2" s="4">
        <v>3</v>
      </c>
      <c r="C2">
        <v>4</v>
      </c>
      <c r="D2">
        <v>2</v>
      </c>
      <c r="E2">
        <v>3</v>
      </c>
      <c r="F2">
        <v>8</v>
      </c>
      <c r="G2">
        <v>15</v>
      </c>
      <c r="H2">
        <v>25</v>
      </c>
      <c r="J2">
        <f>SUM(B2:H2)</f>
        <v>60</v>
      </c>
      <c r="K2" t="s">
        <v>7</v>
      </c>
      <c r="L2">
        <v>16600300</v>
      </c>
      <c r="M2">
        <f>L2/SUM($L$2:$L$9)</f>
        <v>5.0242485222015111E-2</v>
      </c>
    </row>
    <row r="3" spans="1:13" x14ac:dyDescent="0.75">
      <c r="A3" t="s">
        <v>8</v>
      </c>
      <c r="B3" s="4">
        <v>2</v>
      </c>
      <c r="C3">
        <v>1</v>
      </c>
      <c r="D3">
        <v>0</v>
      </c>
      <c r="E3">
        <v>1</v>
      </c>
      <c r="F3">
        <v>16</v>
      </c>
      <c r="G3">
        <v>23</v>
      </c>
      <c r="H3">
        <v>17</v>
      </c>
      <c r="J3">
        <f t="shared" ref="J3:J9" si="0">SUM(B3:H3)</f>
        <v>60</v>
      </c>
      <c r="K3" t="s">
        <v>8</v>
      </c>
      <c r="L3">
        <v>17853423</v>
      </c>
      <c r="M3">
        <f t="shared" ref="M3:M9" si="1">L3/SUM($L$2:$L$9)</f>
        <v>5.4035188595379882E-2</v>
      </c>
    </row>
    <row r="4" spans="1:13" x14ac:dyDescent="0.75">
      <c r="A4" t="s">
        <v>9</v>
      </c>
      <c r="B4">
        <v>3</v>
      </c>
      <c r="C4">
        <v>2</v>
      </c>
      <c r="D4" s="4">
        <v>3</v>
      </c>
      <c r="E4">
        <v>2</v>
      </c>
      <c r="F4">
        <v>18</v>
      </c>
      <c r="G4">
        <v>21</v>
      </c>
      <c r="H4">
        <v>17</v>
      </c>
      <c r="J4">
        <f t="shared" si="0"/>
        <v>66</v>
      </c>
      <c r="K4" t="s">
        <v>11</v>
      </c>
      <c r="L4">
        <v>4822662</v>
      </c>
      <c r="M4">
        <f t="shared" si="1"/>
        <v>1.4596273818290864E-2</v>
      </c>
    </row>
    <row r="5" spans="1:13" x14ac:dyDescent="0.75">
      <c r="A5" t="s">
        <v>10</v>
      </c>
      <c r="B5">
        <v>6</v>
      </c>
      <c r="C5">
        <v>3</v>
      </c>
      <c r="D5" s="4">
        <v>2</v>
      </c>
      <c r="E5">
        <v>3</v>
      </c>
      <c r="F5">
        <v>8</v>
      </c>
      <c r="G5">
        <v>23</v>
      </c>
      <c r="H5">
        <v>15</v>
      </c>
      <c r="J5">
        <f t="shared" si="0"/>
        <v>60</v>
      </c>
      <c r="K5" t="s">
        <v>12</v>
      </c>
      <c r="L5">
        <v>21821578</v>
      </c>
      <c r="M5">
        <f t="shared" si="1"/>
        <v>6.6045210639931212E-2</v>
      </c>
    </row>
    <row r="6" spans="1:13" x14ac:dyDescent="0.75">
      <c r="A6" t="s">
        <v>11</v>
      </c>
      <c r="B6">
        <v>2</v>
      </c>
      <c r="C6">
        <v>2</v>
      </c>
      <c r="D6">
        <v>1</v>
      </c>
      <c r="E6" s="4">
        <v>7</v>
      </c>
      <c r="F6">
        <v>23</v>
      </c>
      <c r="G6">
        <v>8</v>
      </c>
      <c r="H6">
        <v>17</v>
      </c>
      <c r="J6">
        <f t="shared" si="0"/>
        <v>60</v>
      </c>
      <c r="K6" t="s">
        <v>4</v>
      </c>
      <c r="L6">
        <v>82877320</v>
      </c>
      <c r="M6">
        <f t="shared" si="1"/>
        <v>0.25083658279309512</v>
      </c>
    </row>
    <row r="7" spans="1:13" x14ac:dyDescent="0.75">
      <c r="A7" t="s">
        <v>12</v>
      </c>
      <c r="B7">
        <v>0</v>
      </c>
      <c r="C7">
        <v>2</v>
      </c>
      <c r="D7">
        <v>0</v>
      </c>
      <c r="E7" s="4">
        <v>6</v>
      </c>
      <c r="F7">
        <v>8</v>
      </c>
      <c r="G7">
        <v>29</v>
      </c>
      <c r="H7">
        <v>15</v>
      </c>
      <c r="J7">
        <f t="shared" si="0"/>
        <v>60</v>
      </c>
      <c r="K7" t="s">
        <v>13</v>
      </c>
      <c r="L7">
        <v>148198299</v>
      </c>
      <c r="M7">
        <f t="shared" si="1"/>
        <v>0.44853712568057663</v>
      </c>
    </row>
    <row r="8" spans="1:13" x14ac:dyDescent="0.75">
      <c r="A8" t="s">
        <v>4</v>
      </c>
      <c r="B8">
        <v>10</v>
      </c>
      <c r="C8">
        <v>10</v>
      </c>
      <c r="D8">
        <v>0</v>
      </c>
      <c r="E8">
        <v>1</v>
      </c>
      <c r="F8" s="4">
        <v>175</v>
      </c>
      <c r="G8">
        <v>7</v>
      </c>
      <c r="H8">
        <v>24</v>
      </c>
      <c r="J8">
        <f t="shared" si="0"/>
        <v>227</v>
      </c>
      <c r="K8" t="s">
        <v>10</v>
      </c>
      <c r="L8">
        <v>14083476</v>
      </c>
      <c r="M8">
        <f t="shared" si="1"/>
        <v>4.2625063089498649E-2</v>
      </c>
    </row>
    <row r="9" spans="1:13" x14ac:dyDescent="0.75">
      <c r="A9" t="s">
        <v>13</v>
      </c>
      <c r="B9">
        <v>5</v>
      </c>
      <c r="C9">
        <v>2</v>
      </c>
      <c r="D9">
        <v>0</v>
      </c>
      <c r="E9">
        <v>5</v>
      </c>
      <c r="F9">
        <v>12</v>
      </c>
      <c r="G9" s="4">
        <v>335</v>
      </c>
      <c r="H9">
        <v>48</v>
      </c>
      <c r="J9">
        <f t="shared" si="0"/>
        <v>407</v>
      </c>
      <c r="K9" t="s">
        <v>9</v>
      </c>
      <c r="L9">
        <v>24146582</v>
      </c>
      <c r="M9">
        <f t="shared" si="1"/>
        <v>7.3082070161212515E-2</v>
      </c>
    </row>
    <row r="10" spans="1:13" ht="8" customHeight="1" x14ac:dyDescent="0.75"/>
    <row r="11" spans="1:13" x14ac:dyDescent="0.75">
      <c r="A11" t="s">
        <v>16</v>
      </c>
      <c r="B11">
        <f>SUM(B2:B9)</f>
        <v>31</v>
      </c>
      <c r="C11">
        <f t="shared" ref="C11:H11" si="2">SUM(C2:C9)</f>
        <v>26</v>
      </c>
      <c r="D11">
        <f t="shared" si="2"/>
        <v>8</v>
      </c>
      <c r="E11">
        <f t="shared" si="2"/>
        <v>28</v>
      </c>
      <c r="F11">
        <f t="shared" si="2"/>
        <v>268</v>
      </c>
      <c r="G11">
        <f t="shared" si="2"/>
        <v>461</v>
      </c>
      <c r="H11">
        <f t="shared" si="2"/>
        <v>178</v>
      </c>
    </row>
    <row r="15" spans="1:13" x14ac:dyDescent="0.75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K15" t="s">
        <v>19</v>
      </c>
    </row>
    <row r="16" spans="1:13" x14ac:dyDescent="0.75">
      <c r="A16" t="s">
        <v>7</v>
      </c>
      <c r="B16" s="2">
        <f>$M2*B2/$J2</f>
        <v>2.5121242611007557E-3</v>
      </c>
      <c r="C16" s="1">
        <f t="shared" ref="C16:H16" si="3">$M2*C2/$J2</f>
        <v>3.3494990148010073E-3</v>
      </c>
      <c r="D16" s="1">
        <f t="shared" si="3"/>
        <v>1.6747495074005037E-3</v>
      </c>
      <c r="E16" s="1">
        <f t="shared" si="3"/>
        <v>2.5121242611007557E-3</v>
      </c>
      <c r="F16" s="1">
        <f t="shared" si="3"/>
        <v>6.6989980296020147E-3</v>
      </c>
      <c r="G16" s="1">
        <f t="shared" si="3"/>
        <v>1.2560621305503778E-2</v>
      </c>
      <c r="H16" s="1">
        <f t="shared" si="3"/>
        <v>2.0934368842506299E-2</v>
      </c>
      <c r="J16" s="1">
        <f>SUM(B16:H16)</f>
        <v>5.0242485222015118E-2</v>
      </c>
      <c r="K16" s="3">
        <f>SUM(C16:H16)</f>
        <v>4.7730360960914361E-2</v>
      </c>
    </row>
    <row r="17" spans="1:11" x14ac:dyDescent="0.75">
      <c r="A17" t="s">
        <v>8</v>
      </c>
      <c r="B17" s="2">
        <f t="shared" ref="B17:H17" si="4">$M3*B3/$J3</f>
        <v>1.8011729531793295E-3</v>
      </c>
      <c r="C17" s="1">
        <f t="shared" si="4"/>
        <v>9.0058647658966475E-4</v>
      </c>
      <c r="D17" s="1">
        <f t="shared" si="4"/>
        <v>0</v>
      </c>
      <c r="E17" s="1">
        <f t="shared" si="4"/>
        <v>9.0058647658966475E-4</v>
      </c>
      <c r="F17" s="1">
        <f t="shared" si="4"/>
        <v>1.4409383625434636E-2</v>
      </c>
      <c r="G17" s="1">
        <f t="shared" si="4"/>
        <v>2.0713488961562287E-2</v>
      </c>
      <c r="H17" s="1">
        <f t="shared" si="4"/>
        <v>1.5309970102024301E-2</v>
      </c>
      <c r="J17" s="1">
        <f t="shared" ref="J17:J23" si="5">SUM(B17:H17)</f>
        <v>5.4035188595379882E-2</v>
      </c>
      <c r="K17" s="3">
        <f>SUM(C17:H17)</f>
        <v>5.2234015642200551E-2</v>
      </c>
    </row>
    <row r="18" spans="1:11" x14ac:dyDescent="0.75">
      <c r="A18" t="s">
        <v>9</v>
      </c>
      <c r="B18" s="1">
        <f t="shared" ref="B18:H18" si="6">$M4*B4/$J4</f>
        <v>6.634669917404938E-4</v>
      </c>
      <c r="C18" s="1">
        <f t="shared" si="6"/>
        <v>4.4231132782699588E-4</v>
      </c>
      <c r="D18" s="2">
        <f t="shared" si="6"/>
        <v>6.634669917404938E-4</v>
      </c>
      <c r="E18" s="1">
        <f t="shared" si="6"/>
        <v>4.4231132782699588E-4</v>
      </c>
      <c r="F18" s="1">
        <f t="shared" si="6"/>
        <v>3.980801950442963E-3</v>
      </c>
      <c r="G18" s="1">
        <f t="shared" si="6"/>
        <v>4.6442689421834571E-3</v>
      </c>
      <c r="H18" s="1">
        <f t="shared" si="6"/>
        <v>3.7596462865294653E-3</v>
      </c>
      <c r="J18" s="1">
        <f t="shared" si="5"/>
        <v>1.4596273818290866E-2</v>
      </c>
      <c r="K18" s="3">
        <f>SUM(B18:C18)+SUM(E18:H18)</f>
        <v>1.3932806826550369E-2</v>
      </c>
    </row>
    <row r="19" spans="1:11" x14ac:dyDescent="0.75">
      <c r="A19" t="s">
        <v>10</v>
      </c>
      <c r="B19" s="1">
        <f t="shared" ref="B19:H19" si="7">$M5*B5/$J5</f>
        <v>6.604521063993121E-3</v>
      </c>
      <c r="C19" s="1">
        <f t="shared" si="7"/>
        <v>3.3022605319965605E-3</v>
      </c>
      <c r="D19" s="2">
        <f t="shared" si="7"/>
        <v>2.2015070213310403E-3</v>
      </c>
      <c r="E19" s="1">
        <f t="shared" si="7"/>
        <v>3.3022605319965605E-3</v>
      </c>
      <c r="F19" s="1">
        <f t="shared" si="7"/>
        <v>8.8060280853241614E-3</v>
      </c>
      <c r="G19" s="1">
        <f t="shared" si="7"/>
        <v>2.5317330745306964E-2</v>
      </c>
      <c r="H19" s="1">
        <f t="shared" si="7"/>
        <v>1.6511302659982803E-2</v>
      </c>
      <c r="J19" s="1">
        <f t="shared" si="5"/>
        <v>6.6045210639931212E-2</v>
      </c>
      <c r="K19" s="3">
        <f>SUM(B19:C19)+SUM(E19:H19)</f>
        <v>6.3843703618600173E-2</v>
      </c>
    </row>
    <row r="20" spans="1:11" x14ac:dyDescent="0.75">
      <c r="A20" t="s">
        <v>11</v>
      </c>
      <c r="B20" s="1">
        <f t="shared" ref="B20:H20" si="8">$M6*B6/$J6</f>
        <v>8.3612194264365038E-3</v>
      </c>
      <c r="C20" s="1">
        <f t="shared" si="8"/>
        <v>8.3612194264365038E-3</v>
      </c>
      <c r="D20" s="1">
        <f t="shared" si="8"/>
        <v>4.1806097132182519E-3</v>
      </c>
      <c r="E20" s="2">
        <f t="shared" si="8"/>
        <v>2.9264267992527761E-2</v>
      </c>
      <c r="F20" s="1">
        <f t="shared" si="8"/>
        <v>9.6154023404019809E-2</v>
      </c>
      <c r="G20" s="1">
        <f t="shared" si="8"/>
        <v>3.3444877705746015E-2</v>
      </c>
      <c r="H20" s="1">
        <f t="shared" si="8"/>
        <v>7.107036512471028E-2</v>
      </c>
      <c r="J20" s="1">
        <f t="shared" si="5"/>
        <v>0.25083658279309512</v>
      </c>
      <c r="K20" s="3">
        <f>SUM(B20:D20)+SUM(F20:H20)</f>
        <v>0.22157231480056738</v>
      </c>
    </row>
    <row r="21" spans="1:11" x14ac:dyDescent="0.75">
      <c r="A21" t="s">
        <v>12</v>
      </c>
      <c r="B21" s="1">
        <f>$M7*B7/$J7</f>
        <v>0</v>
      </c>
      <c r="C21" s="1">
        <f t="shared" ref="B21:H21" si="9">$M7*C7/$J7</f>
        <v>1.4951237522685889E-2</v>
      </c>
      <c r="D21" s="1">
        <f t="shared" si="9"/>
        <v>0</v>
      </c>
      <c r="E21" s="2">
        <f t="shared" si="9"/>
        <v>4.4853712568057667E-2</v>
      </c>
      <c r="F21" s="1">
        <f t="shared" si="9"/>
        <v>5.9804950090743554E-2</v>
      </c>
      <c r="G21" s="1">
        <f t="shared" si="9"/>
        <v>0.21679294407894539</v>
      </c>
      <c r="H21" s="1">
        <f t="shared" si="9"/>
        <v>0.11213428142014416</v>
      </c>
      <c r="J21" s="1">
        <f t="shared" si="5"/>
        <v>0.44853712568057663</v>
      </c>
      <c r="K21" s="3">
        <f>SUM(B21:D21)+SUM(F21:H21)</f>
        <v>0.40368341311251899</v>
      </c>
    </row>
    <row r="22" spans="1:11" x14ac:dyDescent="0.75">
      <c r="A22" t="s">
        <v>4</v>
      </c>
      <c r="B22" s="1">
        <f t="shared" ref="B22:H22" si="10">$M8*B8/$J8</f>
        <v>1.8777560832378259E-3</v>
      </c>
      <c r="C22" s="1">
        <f t="shared" si="10"/>
        <v>1.8777560832378259E-3</v>
      </c>
      <c r="D22" s="1">
        <f t="shared" si="10"/>
        <v>0</v>
      </c>
      <c r="E22" s="1">
        <f t="shared" si="10"/>
        <v>1.8777560832378259E-4</v>
      </c>
      <c r="F22" s="2">
        <f t="shared" si="10"/>
        <v>3.2860731456661955E-2</v>
      </c>
      <c r="G22" s="1">
        <f t="shared" si="10"/>
        <v>1.3144292582664781E-3</v>
      </c>
      <c r="H22" s="1">
        <f t="shared" si="10"/>
        <v>4.5066145997707825E-3</v>
      </c>
      <c r="J22" s="1">
        <f t="shared" si="5"/>
        <v>4.2625063089498649E-2</v>
      </c>
      <c r="K22" s="3">
        <f>SUM(B22:E22)+SUM(G22:H22)</f>
        <v>9.7643316328366939E-3</v>
      </c>
    </row>
    <row r="23" spans="1:11" x14ac:dyDescent="0.75">
      <c r="A23" t="s">
        <v>13</v>
      </c>
      <c r="B23" s="1">
        <f t="shared" ref="B23:H23" si="11">$M9*B9/$J9</f>
        <v>8.9781412974462545E-4</v>
      </c>
      <c r="C23" s="1">
        <f t="shared" si="11"/>
        <v>3.5912565189785017E-4</v>
      </c>
      <c r="D23" s="1">
        <f t="shared" si="11"/>
        <v>0</v>
      </c>
      <c r="E23" s="1">
        <f t="shared" si="11"/>
        <v>8.9781412974462545E-4</v>
      </c>
      <c r="F23" s="1">
        <f t="shared" si="11"/>
        <v>2.1547539113871013E-3</v>
      </c>
      <c r="G23" s="2">
        <f t="shared" si="11"/>
        <v>6.0153546692889907E-2</v>
      </c>
      <c r="H23" s="1">
        <f t="shared" si="11"/>
        <v>8.6190156455484054E-3</v>
      </c>
      <c r="J23" s="1">
        <f t="shared" si="5"/>
        <v>7.3082070161212515E-2</v>
      </c>
      <c r="K23" s="3">
        <f>SUM(B23:F23)+H23</f>
        <v>1.2928523468322607E-2</v>
      </c>
    </row>
    <row r="25" spans="1:11" x14ac:dyDescent="0.75">
      <c r="A25" t="s">
        <v>16</v>
      </c>
      <c r="B25">
        <f>SUM(B16:B23)</f>
        <v>2.2718074909432655E-2</v>
      </c>
      <c r="C25">
        <f t="shared" ref="C25:H25" si="12">SUM(C16:C23)</f>
        <v>3.3543996035472298E-2</v>
      </c>
      <c r="D25">
        <f t="shared" si="12"/>
        <v>8.7203332336902896E-3</v>
      </c>
      <c r="E25">
        <f t="shared" si="12"/>
        <v>8.2360852896167819E-2</v>
      </c>
      <c r="F25">
        <f t="shared" si="12"/>
        <v>0.2248696705536162</v>
      </c>
      <c r="G25">
        <f t="shared" si="12"/>
        <v>0.3749415076904043</v>
      </c>
      <c r="H25">
        <f t="shared" si="12"/>
        <v>0.25284556468121649</v>
      </c>
    </row>
    <row r="26" spans="1:11" x14ac:dyDescent="0.75">
      <c r="A26" t="s">
        <v>18</v>
      </c>
      <c r="B26" s="3">
        <f>SUM(B18:B23)</f>
        <v>1.8404777695152568E-2</v>
      </c>
      <c r="C26" s="3"/>
      <c r="D26" s="3">
        <f>SUM(D20:D23)+D17+D16</f>
        <v>5.8553592206187551E-3</v>
      </c>
      <c r="E26" s="3">
        <f>SUM(E16:E19)+E22+E23</f>
        <v>8.2428723355823848E-3</v>
      </c>
      <c r="F26" s="3">
        <f>SUM(F16:F21)+F23</f>
        <v>0.19200893909695424</v>
      </c>
      <c r="G26" s="3">
        <f>SUM(G16:G22)</f>
        <v>0.31478796099751438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CrossTable_maporigstrata_ceov4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2022-03-18T19:53:32Z</dcterms:created>
  <dcterms:modified xsi:type="dcterms:W3CDTF">2022-03-18T20:22:44Z</dcterms:modified>
</cp:coreProperties>
</file>