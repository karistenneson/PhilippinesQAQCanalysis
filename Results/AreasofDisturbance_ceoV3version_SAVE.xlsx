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9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0c35774a9514c4a/Documents/Philippines/PhilippinesQAQCanalysis/Results/"/>
    </mc:Choice>
  </mc:AlternateContent>
  <xr:revisionPtr revIDLastSave="10" documentId="8_{9954C90C-C671-43EA-AEFF-5C1010FD1291}" xr6:coauthVersionLast="47" xr6:coauthVersionMax="47" xr10:uidLastSave="{9D0A3913-6D4D-4531-B20F-E2345C697F94}"/>
  <bookViews>
    <workbookView xWindow="-90" yWindow="-90" windowWidth="19380" windowHeight="11460" xr2:uid="{00000000-000D-0000-FFFF-FFFF00000000}"/>
  </bookViews>
  <sheets>
    <sheet name="AreasofDisturbance_ceoV3versio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K5" i="1" l="1"/>
  <c r="K2" i="1"/>
  <c r="K1" i="1"/>
  <c r="K3" i="1"/>
  <c r="K4" i="1"/>
  <c r="E4" i="1"/>
  <c r="E5" i="1"/>
  <c r="E6" i="1"/>
  <c r="E7" i="1"/>
  <c r="E2" i="1"/>
</calcChain>
</file>

<file path=xl/sharedStrings.xml><?xml version="1.0" encoding="utf-8"?>
<sst xmlns="http://schemas.openxmlformats.org/spreadsheetml/2006/main" count="16" uniqueCount="13">
  <si>
    <t>Total, ha</t>
  </si>
  <si>
    <t>SE, ha</t>
  </si>
  <si>
    <t>Deforestation</t>
  </si>
  <si>
    <t>Degradation</t>
  </si>
  <si>
    <t>multiple events</t>
  </si>
  <si>
    <t>Reforestation</t>
  </si>
  <si>
    <t>stable forest</t>
  </si>
  <si>
    <t>stable non-forest</t>
  </si>
  <si>
    <t>stable non forest</t>
  </si>
  <si>
    <t>relative difference</t>
  </si>
  <si>
    <t>(mapped-estimated)/estimated</t>
  </si>
  <si>
    <t>deforested</t>
  </si>
  <si>
    <t>map area, 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</si>
</sst>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1">
    <xf numFmtId="0" fontId="0" fillId="0" borderId="0" xfId="0"/>
    <xf numFmtId="43" fontId="0" fillId="0" borderId="0" xfId="42" applyFont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164" fontId="0" fillId="0" borderId="0" xfId="42" applyNumberFormat="1" applyFont="1" applyBorder="1"/>
    <xf numFmtId="9" fontId="0" fillId="0" borderId="14" xfId="43" applyFont="1" applyBorder="1"/>
    <xf numFmtId="0" fontId="0" fillId="0" borderId="15" xfId="0" applyBorder="1"/>
    <xf numFmtId="164" fontId="0" fillId="0" borderId="16" xfId="42" applyNumberFormat="1" applyFont="1" applyBorder="1"/>
    <xf numFmtId="9" fontId="0" fillId="0" borderId="17" xfId="43" applyFont="1" applyBorder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3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AreasofDisturbance_ceoV3version!$B$1</c:f>
              <c:strCache>
                <c:ptCount val="1"/>
                <c:pt idx="0">
                  <c:v>Total, ha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AreasofDisturbance_ceoV3version!$A$2:$A$7</c:f>
              <c:strCache>
                <c:ptCount val="6"/>
                <c:pt idx="0">
                  <c:v>Deforestation</c:v>
                </c:pt>
                <c:pt idx="1">
                  <c:v>Degradation</c:v>
                </c:pt>
                <c:pt idx="2">
                  <c:v>multiple events</c:v>
                </c:pt>
                <c:pt idx="3">
                  <c:v>Reforestation</c:v>
                </c:pt>
                <c:pt idx="4">
                  <c:v>stable forest</c:v>
                </c:pt>
                <c:pt idx="5">
                  <c:v>stable non-forest</c:v>
                </c:pt>
              </c:strCache>
            </c:strRef>
          </c:cat>
          <c:val>
            <c:numRef>
              <c:f>AreasofDisturbance_ceoV3version!$B$2:$B$7</c:f>
              <c:numCache>
                <c:formatCode>_(* #,##0_);_(* \(#,##0\);_(* "-"??_);_(@_)</c:formatCode>
                <c:ptCount val="6"/>
                <c:pt idx="0">
                  <c:v>907377</c:v>
                </c:pt>
                <c:pt idx="1">
                  <c:v>739801</c:v>
                </c:pt>
                <c:pt idx="2">
                  <c:v>208200</c:v>
                </c:pt>
                <c:pt idx="3">
                  <c:v>696393</c:v>
                </c:pt>
                <c:pt idx="4">
                  <c:v>8093184</c:v>
                </c:pt>
                <c:pt idx="5">
                  <c:v>19091373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44-47B8-BF3A-4EA942C768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AreasofDisturbance_ceoV3version!$D$1</c:f>
              <c:strCache>
                <c:ptCount val="1"/>
                <c:pt idx="0">
                  <c:v>map area, ha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AreasofDisturbance_ceoV3version!$A$2:$A$7</c:f>
              <c:strCache>
                <c:ptCount val="6"/>
                <c:pt idx="0">
                  <c:v>Deforestation</c:v>
                </c:pt>
                <c:pt idx="1">
                  <c:v>Degradation</c:v>
                </c:pt>
                <c:pt idx="2">
                  <c:v>multiple events</c:v>
                </c:pt>
                <c:pt idx="3">
                  <c:v>Reforestation</c:v>
                </c:pt>
                <c:pt idx="4">
                  <c:v>stable forest</c:v>
                </c:pt>
                <c:pt idx="5">
                  <c:v>stable non-forest</c:v>
                </c:pt>
              </c:strCache>
            </c:strRef>
          </c:cat>
          <c:val>
            <c:numRef>
              <c:f>AreasofDisturbance_ceoV3version!$D$2:$D$7</c:f>
              <c:numCache>
                <c:formatCode>_(* #,##0_);_(* \(#,##0\);_(* "-"??_);_(@_)</c:formatCode>
                <c:ptCount val="6"/>
                <c:pt idx="0">
                  <c:v>3100835.07</c:v>
                </c:pt>
                <c:pt idx="2">
                  <c:v>3440705.22</c:v>
                </c:pt>
                <c:pt idx="3">
                  <c:v>2397981.6</c:v>
                </c:pt>
                <c:pt idx="4">
                  <c:v>7458958.7999999998</c:v>
                </c:pt>
                <c:pt idx="5">
                  <c:v>13337846.91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E3-4C04-AEB7-1807DE3A67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22225</xdr:colOff>
      <xdr:row>9</xdr:row>
      <xdr:rowOff>15875</xdr:rowOff>
    </xdr:from>
    <xdr:to>
      <xdr:col>3</xdr:col>
      <xdr:colOff>155575</xdr:colOff>
      <xdr:row>23</xdr:row>
      <xdr:rowOff>90487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A2E2295-FCCB-4A3C-9A89-63B5E140EA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182562</xdr:colOff>
      <xdr:row>9</xdr:row>
      <xdr:rowOff>25400</xdr:rowOff>
    </xdr:from>
    <xdr:to>
      <xdr:col>5</xdr:col>
      <xdr:colOff>314325</xdr:colOff>
      <xdr:row>23</xdr:row>
      <xdr:rowOff>182562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C0E3BFF-ECAA-4921-B28A-5B2BF5FEBC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9"/>
  <sheetViews>
    <sheetView tabSelected="1" workbookViewId="0">
      <selection activeCell="I13" sqref="I13"/>
    </sheetView>
  </sheetViews>
  <sheetFormatPr defaultRowHeight="14.75" x14ac:dyDescent="0.75"/>
  <cols>
    <col min="1" max="1" width="18" customWidth="1"/>
    <col min="2" max="2" width="19.76953125" customWidth="1"/>
    <col min="3" max="3" width="10.86328125" bestFit="1" customWidth="1"/>
    <col min="4" max="4" width="14.08984375" customWidth="1"/>
    <col min="5" max="5" width="26.7265625" customWidth="1"/>
    <col min="10" max="10" width="18.86328125" customWidth="1"/>
    <col min="11" max="11" width="17.6328125" customWidth="1"/>
  </cols>
  <sheetData>
    <row r="1" spans="1:11" x14ac:dyDescent="0.75">
      <c r="A1" s="2"/>
      <c r="B1" s="3" t="s">
        <v>0</v>
      </c>
      <c r="C1" s="3" t="s">
        <v>1</v>
      </c>
      <c r="D1" s="3" t="s">
        <v>12</v>
      </c>
      <c r="E1" s="4" t="s">
        <v>9</v>
      </c>
      <c r="I1" t="s">
        <v>11</v>
      </c>
      <c r="J1">
        <v>34453723</v>
      </c>
      <c r="K1" s="1">
        <f>J1*30*30/10000</f>
        <v>3100835.07</v>
      </c>
    </row>
    <row r="2" spans="1:11" x14ac:dyDescent="0.75">
      <c r="A2" s="5" t="s">
        <v>2</v>
      </c>
      <c r="B2" s="6">
        <v>907377</v>
      </c>
      <c r="C2" s="6">
        <v>161195</v>
      </c>
      <c r="D2" s="6">
        <v>3100835.07</v>
      </c>
      <c r="E2" s="7">
        <f>(D2-B2)/B2</f>
        <v>2.4173613283122668</v>
      </c>
      <c r="I2" t="s">
        <v>4</v>
      </c>
      <c r="J2">
        <v>38230058</v>
      </c>
      <c r="K2" s="1">
        <f>J2*30*30/10000</f>
        <v>3440705.22</v>
      </c>
    </row>
    <row r="3" spans="1:11" x14ac:dyDescent="0.75">
      <c r="A3" s="5" t="s">
        <v>3</v>
      </c>
      <c r="B3" s="6">
        <v>739801</v>
      </c>
      <c r="C3" s="6">
        <v>144576</v>
      </c>
      <c r="D3" s="6"/>
      <c r="E3" s="7"/>
      <c r="I3" t="s">
        <v>5</v>
      </c>
      <c r="J3">
        <v>26644240</v>
      </c>
      <c r="K3" s="1">
        <f t="shared" ref="K3:K4" si="0">J3*30*30/10000</f>
        <v>2397981.6</v>
      </c>
    </row>
    <row r="4" spans="1:11" x14ac:dyDescent="0.75">
      <c r="A4" s="5" t="s">
        <v>4</v>
      </c>
      <c r="B4" s="6">
        <v>208200</v>
      </c>
      <c r="C4" s="6">
        <v>73025</v>
      </c>
      <c r="D4" s="6">
        <v>3440705.22</v>
      </c>
      <c r="E4" s="7">
        <f t="shared" ref="E4:E7" si="1">(D4-B4)/B4</f>
        <v>15.525961671469741</v>
      </c>
      <c r="I4" t="s">
        <v>6</v>
      </c>
      <c r="J4">
        <v>82877320</v>
      </c>
      <c r="K4" s="1">
        <f t="shared" si="0"/>
        <v>7458958.7999999998</v>
      </c>
    </row>
    <row r="5" spans="1:11" x14ac:dyDescent="0.75">
      <c r="A5" s="5" t="s">
        <v>5</v>
      </c>
      <c r="B5" s="6">
        <v>696393</v>
      </c>
      <c r="C5" s="6">
        <v>131442</v>
      </c>
      <c r="D5" s="6">
        <v>2397981.6</v>
      </c>
      <c r="E5" s="7">
        <f t="shared" si="1"/>
        <v>2.4434315106556213</v>
      </c>
      <c r="I5" t="s">
        <v>8</v>
      </c>
      <c r="J5">
        <v>148198299</v>
      </c>
      <c r="K5" s="1">
        <f>J5*30*30/10000</f>
        <v>13337846.91</v>
      </c>
    </row>
    <row r="6" spans="1:11" x14ac:dyDescent="0.75">
      <c r="A6" s="5" t="s">
        <v>6</v>
      </c>
      <c r="B6" s="6">
        <v>8093184</v>
      </c>
      <c r="C6" s="6">
        <v>306120</v>
      </c>
      <c r="D6" s="6">
        <v>7458958.7999999998</v>
      </c>
      <c r="E6" s="7">
        <f t="shared" si="1"/>
        <v>-7.8365350398557618E-2</v>
      </c>
    </row>
    <row r="7" spans="1:11" ht="15.5" thickBot="1" x14ac:dyDescent="0.9">
      <c r="A7" s="8" t="s">
        <v>7</v>
      </c>
      <c r="B7" s="9">
        <v>19091373</v>
      </c>
      <c r="C7" s="9">
        <v>325231</v>
      </c>
      <c r="D7" s="9">
        <v>13337846.91</v>
      </c>
      <c r="E7" s="10">
        <f t="shared" si="1"/>
        <v>-0.30136785290403156</v>
      </c>
    </row>
    <row r="9" spans="1:11" x14ac:dyDescent="0.75">
      <c r="E9" t="s">
        <v>10</v>
      </c>
      <c r="K9" s="1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AreasofDisturbance_ceoV3version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Crystal Wespestad</dc:creator>
  <cp:lastModifiedBy>Crystal Wespestad</cp:lastModifiedBy>
  <dcterms:created xsi:type="dcterms:W3CDTF">2022-03-14T20:54:05Z</dcterms:created>
  <dcterms:modified xsi:type="dcterms:W3CDTF">2022-03-14T21:51:01Z</dcterms:modified>
</cp:coreProperties>
</file>