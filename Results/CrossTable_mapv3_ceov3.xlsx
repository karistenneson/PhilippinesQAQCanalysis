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0c35774a9514c4a/Documents/Philippines/PhilippinesQAQCanalysis/Results/"/>
    </mc:Choice>
  </mc:AlternateContent>
  <xr:revisionPtr revIDLastSave="0" documentId="13_ncr:40009_{EC9792D2-5600-4321-B6EE-E4BED806737B}" xr6:coauthVersionLast="47" xr6:coauthVersionMax="47" xr10:uidLastSave="{00000000-0000-0000-0000-000000000000}"/>
  <bookViews>
    <workbookView xWindow="-90" yWindow="-90" windowWidth="19380" windowHeight="11460"/>
  </bookViews>
  <sheets>
    <sheet name="CrossTable_mapv3_ceov3" sheetId="1" r:id="rId1"/>
  </sheets>
  <calcPr calcId="0"/>
</workbook>
</file>

<file path=xl/calcChain.xml><?xml version="1.0" encoding="utf-8"?>
<calcChain xmlns="http://schemas.openxmlformats.org/spreadsheetml/2006/main">
  <c r="L21" i="1" l="1"/>
  <c r="M21" i="1"/>
  <c r="L9" i="1"/>
  <c r="M3" i="1" s="1"/>
  <c r="J4" i="1"/>
  <c r="I4" i="1" s="1"/>
  <c r="J5" i="1"/>
  <c r="I5" i="1" s="1"/>
  <c r="J6" i="1"/>
  <c r="I6" i="1" s="1"/>
  <c r="J7" i="1"/>
  <c r="I7" i="1" s="1"/>
  <c r="J3" i="1"/>
  <c r="I3" i="1" s="1"/>
  <c r="D8" i="1"/>
  <c r="E8" i="1"/>
  <c r="E9" i="1" s="1"/>
  <c r="F8" i="1"/>
  <c r="F9" i="1" s="1"/>
  <c r="G8" i="1"/>
  <c r="G9" i="1" s="1"/>
  <c r="H8" i="1"/>
  <c r="H9" i="1" s="1"/>
  <c r="C8" i="1"/>
  <c r="C9" i="1" s="1"/>
  <c r="M4" i="1" l="1"/>
  <c r="D16" i="1" s="1"/>
  <c r="M7" i="1"/>
  <c r="G19" i="1" s="1"/>
  <c r="M6" i="1"/>
  <c r="E18" i="1" s="1"/>
  <c r="M5" i="1"/>
  <c r="H17" i="1" s="1"/>
  <c r="D15" i="1"/>
  <c r="E15" i="1"/>
  <c r="F15" i="1"/>
  <c r="G15" i="1"/>
  <c r="H15" i="1"/>
  <c r="C15" i="1"/>
  <c r="C18" i="1" l="1"/>
  <c r="E16" i="1"/>
  <c r="G16" i="1"/>
  <c r="F16" i="1"/>
  <c r="H16" i="1"/>
  <c r="E19" i="1"/>
  <c r="H19" i="1"/>
  <c r="C19" i="1"/>
  <c r="H18" i="1"/>
  <c r="H23" i="1" s="1"/>
  <c r="C16" i="1"/>
  <c r="I16" i="1" s="1"/>
  <c r="K16" i="1" s="1"/>
  <c r="D18" i="1"/>
  <c r="F18" i="1"/>
  <c r="G18" i="1"/>
  <c r="G17" i="1"/>
  <c r="F17" i="1"/>
  <c r="C17" i="1"/>
  <c r="D17" i="1"/>
  <c r="D21" i="1" s="1"/>
  <c r="E17" i="1"/>
  <c r="E23" i="1" s="1"/>
  <c r="D19" i="1"/>
  <c r="F19" i="1"/>
  <c r="I15" i="1"/>
  <c r="K15" i="1" s="1"/>
  <c r="I18" i="1"/>
  <c r="K18" i="1" s="1"/>
  <c r="G21" i="1"/>
  <c r="G23" i="1"/>
  <c r="C23" i="1" l="1"/>
  <c r="H21" i="1"/>
  <c r="F23" i="1"/>
  <c r="I19" i="1"/>
  <c r="K19" i="1" s="1"/>
  <c r="E21" i="1"/>
  <c r="F21" i="1"/>
  <c r="C21" i="1"/>
  <c r="I17" i="1"/>
  <c r="K17" i="1" s="1"/>
  <c r="K21" i="1"/>
</calcChain>
</file>

<file path=xl/sharedStrings.xml><?xml version="1.0" encoding="utf-8"?>
<sst xmlns="http://schemas.openxmlformats.org/spreadsheetml/2006/main" count="39" uniqueCount="16">
  <si>
    <t>Deforestation</t>
  </si>
  <si>
    <t>Degradation</t>
  </si>
  <si>
    <t>multiple events</t>
  </si>
  <si>
    <t>Reforestation</t>
  </si>
  <si>
    <t>stable forest</t>
  </si>
  <si>
    <t>stable non forest</t>
  </si>
  <si>
    <t>sum</t>
  </si>
  <si>
    <t>pixel count</t>
  </si>
  <si>
    <t>area weight</t>
  </si>
  <si>
    <t>area of omission error</t>
  </si>
  <si>
    <t>area of comission error</t>
  </si>
  <si>
    <t>omission error</t>
  </si>
  <si>
    <t>comisison error</t>
  </si>
  <si>
    <t>CEO</t>
  </si>
  <si>
    <t>Map</t>
  </si>
  <si>
    <t>Area Weighted Confusion 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</si>
</sst>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0" formatCode="0.0000"/>
    <numFmt numFmtId="173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170" fontId="0" fillId="0" borderId="0" xfId="0" applyNumberFormat="1"/>
    <xf numFmtId="1" fontId="0" fillId="0" borderId="0" xfId="0" applyNumberFormat="1"/>
    <xf numFmtId="0" fontId="0" fillId="0" borderId="0" xfId="0" applyFill="1"/>
    <xf numFmtId="170" fontId="0" fillId="0" borderId="0" xfId="0" applyNumberFormat="1" applyFill="1"/>
    <xf numFmtId="173" fontId="0" fillId="0" borderId="0" xfId="1" applyNumberFormat="1" applyFont="1" applyFill="1"/>
    <xf numFmtId="173" fontId="0" fillId="34" borderId="0" xfId="1" applyNumberFormat="1" applyFont="1" applyFill="1"/>
    <xf numFmtId="0" fontId="0" fillId="34" borderId="0" xfId="0" applyFill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0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34" borderId="0" xfId="0" applyFill="1" applyBorder="1"/>
    <xf numFmtId="0" fontId="0" fillId="33" borderId="0" xfId="0" applyFill="1" applyBorder="1"/>
    <xf numFmtId="0" fontId="0" fillId="33" borderId="17" xfId="0" applyFill="1" applyBorder="1"/>
    <xf numFmtId="170" fontId="0" fillId="33" borderId="0" xfId="0" applyNumberFormat="1" applyFill="1" applyBorder="1"/>
    <xf numFmtId="170" fontId="0" fillId="0" borderId="0" xfId="0" applyNumberFormat="1" applyBorder="1"/>
    <xf numFmtId="170" fontId="0" fillId="0" borderId="14" xfId="0" applyNumberFormat="1" applyBorder="1"/>
    <xf numFmtId="170" fontId="0" fillId="0" borderId="16" xfId="0" applyNumberFormat="1" applyBorder="1"/>
    <xf numFmtId="170" fontId="0" fillId="33" borderId="17" xfId="0" applyNumberFormat="1" applyFill="1" applyBorder="1"/>
    <xf numFmtId="0" fontId="0" fillId="0" borderId="16" xfId="0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35" borderId="0" xfId="0" applyFill="1"/>
    <xf numFmtId="0" fontId="0" fillId="35" borderId="0" xfId="0" applyFill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tabSelected="1" zoomScale="115" zoomScaleNormal="115" workbookViewId="0">
      <selection activeCell="C11" sqref="C11"/>
    </sheetView>
  </sheetViews>
  <sheetFormatPr defaultRowHeight="14.75" x14ac:dyDescent="0.75"/>
  <cols>
    <col min="1" max="1" width="5.953125" customWidth="1"/>
    <col min="2" max="2" width="20.54296875" customWidth="1"/>
    <col min="3" max="7" width="13.31640625" customWidth="1"/>
    <col min="8" max="8" width="19.6328125" customWidth="1"/>
    <col min="9" max="9" width="19.6328125" style="3" customWidth="1"/>
    <col min="11" max="11" width="8.76953125" bestFit="1" customWidth="1"/>
    <col min="12" max="12" width="13.2265625" bestFit="1" customWidth="1"/>
    <col min="13" max="13" width="11.2265625" customWidth="1"/>
  </cols>
  <sheetData>
    <row r="1" spans="1:13" ht="15.5" thickBot="1" x14ac:dyDescent="0.9">
      <c r="C1" s="24" t="s">
        <v>13</v>
      </c>
      <c r="D1" s="24"/>
      <c r="E1" s="24"/>
      <c r="F1" s="24"/>
      <c r="G1" s="24"/>
      <c r="H1" s="24"/>
    </row>
    <row r="2" spans="1:13" x14ac:dyDescent="0.75">
      <c r="A2" s="25" t="s">
        <v>14</v>
      </c>
      <c r="B2" s="8"/>
      <c r="C2" s="9" t="s">
        <v>0</v>
      </c>
      <c r="D2" s="9" t="s">
        <v>1</v>
      </c>
      <c r="E2" s="9" t="s">
        <v>2</v>
      </c>
      <c r="F2" s="9" t="s">
        <v>3</v>
      </c>
      <c r="G2" s="9" t="s">
        <v>4</v>
      </c>
      <c r="H2" s="10" t="s">
        <v>5</v>
      </c>
      <c r="I2" s="16" t="s">
        <v>12</v>
      </c>
      <c r="J2" t="s">
        <v>6</v>
      </c>
      <c r="L2" t="s">
        <v>7</v>
      </c>
      <c r="M2" t="s">
        <v>8</v>
      </c>
    </row>
    <row r="3" spans="1:13" x14ac:dyDescent="0.75">
      <c r="A3" s="25"/>
      <c r="B3" s="11" t="s">
        <v>0</v>
      </c>
      <c r="C3" s="17">
        <v>5</v>
      </c>
      <c r="D3" s="12">
        <v>5</v>
      </c>
      <c r="E3" s="12">
        <v>2</v>
      </c>
      <c r="F3" s="12">
        <v>4</v>
      </c>
      <c r="G3" s="12">
        <v>24</v>
      </c>
      <c r="H3" s="13">
        <v>80</v>
      </c>
      <c r="I3" s="6">
        <f>1-C3/J3</f>
        <v>0.95833333333333337</v>
      </c>
      <c r="J3">
        <f>SUM(C3:H3)</f>
        <v>120</v>
      </c>
      <c r="L3">
        <v>34453723</v>
      </c>
      <c r="M3">
        <f>L3/$L$9</f>
        <v>0.10427767381739499</v>
      </c>
    </row>
    <row r="4" spans="1:13" x14ac:dyDescent="0.75">
      <c r="A4" s="25"/>
      <c r="B4" s="11" t="s">
        <v>2</v>
      </c>
      <c r="C4" s="12">
        <v>9</v>
      </c>
      <c r="D4" s="12">
        <v>5</v>
      </c>
      <c r="E4" s="17">
        <v>5</v>
      </c>
      <c r="F4" s="12">
        <v>5</v>
      </c>
      <c r="G4" s="12">
        <v>26</v>
      </c>
      <c r="H4" s="13">
        <v>76</v>
      </c>
      <c r="I4" s="6">
        <f>1-E4/J4</f>
        <v>0.96031746031746035</v>
      </c>
      <c r="J4">
        <f>SUM(C4:H4)</f>
        <v>126</v>
      </c>
      <c r="L4">
        <v>38230058</v>
      </c>
      <c r="M4">
        <f t="shared" ref="M4:M7" si="0">L4/$L$9</f>
        <v>0.11570713325071116</v>
      </c>
    </row>
    <row r="5" spans="1:13" x14ac:dyDescent="0.75">
      <c r="A5" s="25"/>
      <c r="B5" s="11" t="s">
        <v>3</v>
      </c>
      <c r="C5" s="12">
        <v>2</v>
      </c>
      <c r="D5" s="12">
        <v>4</v>
      </c>
      <c r="E5" s="12">
        <v>1</v>
      </c>
      <c r="F5" s="17">
        <v>13</v>
      </c>
      <c r="G5" s="12">
        <v>31</v>
      </c>
      <c r="H5" s="13">
        <v>69</v>
      </c>
      <c r="I5" s="6">
        <f>1-F5/J5</f>
        <v>0.89166666666666661</v>
      </c>
      <c r="J5">
        <f>SUM(C5:H5)</f>
        <v>120</v>
      </c>
      <c r="L5">
        <v>26644240</v>
      </c>
      <c r="M5">
        <f t="shared" si="0"/>
        <v>8.0641484458222071E-2</v>
      </c>
    </row>
    <row r="6" spans="1:13" x14ac:dyDescent="0.75">
      <c r="A6" s="25"/>
      <c r="B6" s="11" t="s">
        <v>4</v>
      </c>
      <c r="C6" s="12">
        <v>10</v>
      </c>
      <c r="D6" s="12">
        <v>10</v>
      </c>
      <c r="E6" s="12">
        <v>0</v>
      </c>
      <c r="F6" s="12">
        <v>1</v>
      </c>
      <c r="G6" s="17">
        <v>175</v>
      </c>
      <c r="H6" s="13">
        <v>31</v>
      </c>
      <c r="I6" s="6">
        <f>1-G6/J6</f>
        <v>0.22907488986784141</v>
      </c>
      <c r="J6">
        <f>SUM(C6:H6)</f>
        <v>227</v>
      </c>
      <c r="L6">
        <v>82877320</v>
      </c>
      <c r="M6">
        <f t="shared" si="0"/>
        <v>0.25083658279309512</v>
      </c>
    </row>
    <row r="7" spans="1:13" ht="15.5" thickBot="1" x14ac:dyDescent="0.9">
      <c r="A7" s="25"/>
      <c r="B7" s="14" t="s">
        <v>5</v>
      </c>
      <c r="C7" s="15">
        <v>5</v>
      </c>
      <c r="D7" s="15">
        <v>2</v>
      </c>
      <c r="E7" s="15">
        <v>0</v>
      </c>
      <c r="F7" s="15">
        <v>5</v>
      </c>
      <c r="G7" s="15">
        <v>12</v>
      </c>
      <c r="H7" s="18">
        <v>383</v>
      </c>
      <c r="I7" s="6">
        <f>1-H7/J7</f>
        <v>5.8968058968059012E-2</v>
      </c>
      <c r="J7">
        <f>SUM(C7:H7)</f>
        <v>407</v>
      </c>
      <c r="L7">
        <v>148198299</v>
      </c>
      <c r="M7">
        <f t="shared" si="0"/>
        <v>0.44853712568057663</v>
      </c>
    </row>
    <row r="8" spans="1:13" x14ac:dyDescent="0.75">
      <c r="B8" t="s">
        <v>6</v>
      </c>
      <c r="C8">
        <f>SUM(C3:C7)</f>
        <v>31</v>
      </c>
      <c r="D8">
        <f>SUM(D3:D7)</f>
        <v>26</v>
      </c>
      <c r="E8">
        <f>SUM(E3:E7)</f>
        <v>8</v>
      </c>
      <c r="F8">
        <f>SUM(F3:F7)</f>
        <v>28</v>
      </c>
      <c r="G8">
        <f>SUM(G3:G7)</f>
        <v>268</v>
      </c>
      <c r="H8">
        <f>SUM(H3:H7)</f>
        <v>639</v>
      </c>
    </row>
    <row r="9" spans="1:13" x14ac:dyDescent="0.75">
      <c r="B9" s="7" t="s">
        <v>11</v>
      </c>
      <c r="C9" s="6">
        <f>1-C3/C8</f>
        <v>0.83870967741935487</v>
      </c>
      <c r="D9" s="6"/>
      <c r="E9" s="6">
        <f>1-E4/E8</f>
        <v>0.375</v>
      </c>
      <c r="F9" s="6">
        <f>1-F5/F8</f>
        <v>0.5357142857142857</v>
      </c>
      <c r="G9" s="6">
        <f>1-G6/G8</f>
        <v>0.34701492537313428</v>
      </c>
      <c r="H9" s="6">
        <f>1-H7/H8</f>
        <v>0.40062597809076683</v>
      </c>
      <c r="L9">
        <f>SUM(L3:L7)</f>
        <v>330403640</v>
      </c>
    </row>
    <row r="10" spans="1:13" s="3" customFormat="1" x14ac:dyDescent="0.75">
      <c r="C10" s="5"/>
      <c r="D10" s="5"/>
      <c r="E10" s="5"/>
      <c r="F10" s="5"/>
      <c r="G10" s="5"/>
      <c r="H10" s="5"/>
    </row>
    <row r="11" spans="1:13" s="3" customFormat="1" x14ac:dyDescent="0.75">
      <c r="C11" s="5"/>
      <c r="D11" s="5"/>
      <c r="E11" s="5"/>
      <c r="F11" s="5"/>
      <c r="G11" s="5"/>
      <c r="H11" s="5"/>
    </row>
    <row r="12" spans="1:13" x14ac:dyDescent="0.75">
      <c r="A12" s="26"/>
      <c r="B12" s="27" t="s">
        <v>15</v>
      </c>
      <c r="C12" s="26"/>
      <c r="D12" s="26"/>
      <c r="E12" s="26"/>
      <c r="F12" s="26"/>
      <c r="G12" s="26"/>
      <c r="H12" s="26"/>
      <c r="I12" s="26"/>
    </row>
    <row r="13" spans="1:13" ht="15.5" thickBot="1" x14ac:dyDescent="0.9">
      <c r="C13" s="24" t="s">
        <v>13</v>
      </c>
      <c r="D13" s="24"/>
      <c r="E13" s="24"/>
      <c r="F13" s="24"/>
      <c r="G13" s="24"/>
      <c r="H13" s="24"/>
    </row>
    <row r="14" spans="1:13" x14ac:dyDescent="0.75">
      <c r="A14" s="25" t="s">
        <v>14</v>
      </c>
      <c r="B14" s="8"/>
      <c r="C14" s="9" t="s">
        <v>0</v>
      </c>
      <c r="D14" s="9" t="s">
        <v>1</v>
      </c>
      <c r="E14" s="9" t="s">
        <v>2</v>
      </c>
      <c r="F14" s="9" t="s">
        <v>3</v>
      </c>
      <c r="G14" s="9" t="s">
        <v>4</v>
      </c>
      <c r="H14" s="10" t="s">
        <v>5</v>
      </c>
      <c r="I14" s="7" t="s">
        <v>10</v>
      </c>
      <c r="K14" t="s">
        <v>6</v>
      </c>
      <c r="L14" t="s">
        <v>7</v>
      </c>
      <c r="M14" t="s">
        <v>8</v>
      </c>
    </row>
    <row r="15" spans="1:13" x14ac:dyDescent="0.75">
      <c r="A15" s="25"/>
      <c r="B15" s="11" t="s">
        <v>0</v>
      </c>
      <c r="C15" s="19">
        <f>$M3*C3/$J3</f>
        <v>4.3449030757247908E-3</v>
      </c>
      <c r="D15" s="20">
        <f>$M3*D3/$J3</f>
        <v>4.3449030757247908E-3</v>
      </c>
      <c r="E15" s="20">
        <f>$M3*E3/$J3</f>
        <v>1.7379612302899164E-3</v>
      </c>
      <c r="F15" s="20">
        <f>$M3*F3/$J3</f>
        <v>3.4759224605798327E-3</v>
      </c>
      <c r="G15" s="20">
        <f>$M3*G3/$J3</f>
        <v>2.0855534763478997E-2</v>
      </c>
      <c r="H15" s="21">
        <f>$M3*H3/$J3</f>
        <v>6.9518449211596653E-2</v>
      </c>
      <c r="I15" s="6">
        <f>SUM(D15:H15)</f>
        <v>9.9932770741670188E-2</v>
      </c>
      <c r="K15" s="1">
        <f>SUM(C15:I15)</f>
        <v>0.20421044455906517</v>
      </c>
      <c r="L15">
        <v>34453723</v>
      </c>
      <c r="M15">
        <v>0.10427767381739499</v>
      </c>
    </row>
    <row r="16" spans="1:13" x14ac:dyDescent="0.75">
      <c r="A16" s="25"/>
      <c r="B16" s="11" t="s">
        <v>2</v>
      </c>
      <c r="C16" s="20">
        <f>$M4*C4/$J4</f>
        <v>8.2647952321936551E-3</v>
      </c>
      <c r="D16" s="20">
        <f>$M4*D4/$J4</f>
        <v>4.5915529067742525E-3</v>
      </c>
      <c r="E16" s="19">
        <f>$M4*E4/$J4</f>
        <v>4.5915529067742525E-3</v>
      </c>
      <c r="F16" s="20">
        <f>$M4*F4/$J4</f>
        <v>4.5915529067742525E-3</v>
      </c>
      <c r="G16" s="20">
        <f>$M4*G4/$J4</f>
        <v>2.3876075115226113E-2</v>
      </c>
      <c r="H16" s="21">
        <f>$M4*H4/$J4</f>
        <v>6.9791604182968647E-2</v>
      </c>
      <c r="I16" s="6">
        <f>SUM(C16:D16)+SUM(F16:H16)</f>
        <v>0.11111558034393693</v>
      </c>
      <c r="K16" s="1">
        <f>SUM(C16:I16)</f>
        <v>0.22682271359464809</v>
      </c>
      <c r="L16">
        <v>38230058</v>
      </c>
      <c r="M16">
        <v>0.11570713325071116</v>
      </c>
    </row>
    <row r="17" spans="1:13" x14ac:dyDescent="0.75">
      <c r="A17" s="25"/>
      <c r="B17" s="11" t="s">
        <v>3</v>
      </c>
      <c r="C17" s="20">
        <f>$M5*C5/$J5</f>
        <v>1.3440247409703678E-3</v>
      </c>
      <c r="D17" s="20">
        <f>$M5*D5/$J5</f>
        <v>2.6880494819407357E-3</v>
      </c>
      <c r="E17" s="20">
        <f>$M5*E5/$J5</f>
        <v>6.7201237048518392E-4</v>
      </c>
      <c r="F17" s="19">
        <f>$M5*F5/$J5</f>
        <v>8.7361608163073912E-3</v>
      </c>
      <c r="G17" s="20">
        <f>$M5*G5/$J5</f>
        <v>2.0832383485040702E-2</v>
      </c>
      <c r="H17" s="21">
        <f>$M5*H5/$J5</f>
        <v>4.636885356347769E-2</v>
      </c>
      <c r="I17" s="6">
        <f>SUM(C17:E17)+SUM(G17:H17)</f>
        <v>7.1905323641914681E-2</v>
      </c>
      <c r="K17" s="1">
        <f>SUM(C17:I17)</f>
        <v>0.15254680810013677</v>
      </c>
      <c r="L17">
        <v>26644240</v>
      </c>
      <c r="M17">
        <v>8.0641484458222071E-2</v>
      </c>
    </row>
    <row r="18" spans="1:13" x14ac:dyDescent="0.75">
      <c r="A18" s="25"/>
      <c r="B18" s="11" t="s">
        <v>4</v>
      </c>
      <c r="C18" s="20">
        <f>$M6*C6/$J6</f>
        <v>1.1050069726568067E-2</v>
      </c>
      <c r="D18" s="20">
        <f>$M6*D6/$J6</f>
        <v>1.1050069726568067E-2</v>
      </c>
      <c r="E18" s="20">
        <f>$M6*E6/$J6</f>
        <v>0</v>
      </c>
      <c r="F18" s="20">
        <f>$M6*F6/$J6</f>
        <v>1.1050069726568066E-3</v>
      </c>
      <c r="G18" s="19">
        <f>$M6*G6/$J6</f>
        <v>0.19337622021494116</v>
      </c>
      <c r="H18" s="21">
        <f>$M6*H6/$J6</f>
        <v>3.4255216152361011E-2</v>
      </c>
      <c r="I18" s="6">
        <f>SUM(C18:F18)+H18</f>
        <v>5.7460362578153956E-2</v>
      </c>
      <c r="K18" s="1">
        <f>SUM(C18:I18)</f>
        <v>0.30829694537124908</v>
      </c>
      <c r="L18">
        <v>82877320</v>
      </c>
      <c r="M18">
        <v>0.25083658279309512</v>
      </c>
    </row>
    <row r="19" spans="1:13" ht="15.5" thickBot="1" x14ac:dyDescent="0.9">
      <c r="A19" s="25"/>
      <c r="B19" s="14" t="s">
        <v>5</v>
      </c>
      <c r="C19" s="22">
        <f>$M7*C7/$J7</f>
        <v>5.5102840992699836E-3</v>
      </c>
      <c r="D19" s="22">
        <f>$M7*D7/$J7</f>
        <v>2.2041136397079933E-3</v>
      </c>
      <c r="E19" s="22">
        <f>$M7*E7/$J7</f>
        <v>0</v>
      </c>
      <c r="F19" s="22">
        <f>$M7*F7/$J7</f>
        <v>5.5102840992699836E-3</v>
      </c>
      <c r="G19" s="22">
        <f>$M7*G7/$J7</f>
        <v>1.3224681838247961E-2</v>
      </c>
      <c r="H19" s="23">
        <f>$M7*H7/$J7</f>
        <v>0.42208776200408071</v>
      </c>
      <c r="I19" s="6">
        <f>SUM(C19:G19)</f>
        <v>2.6449363676495922E-2</v>
      </c>
      <c r="K19" s="1">
        <f>SUM(C19:I19)</f>
        <v>0.47498648935707255</v>
      </c>
      <c r="L19">
        <v>148198299</v>
      </c>
      <c r="M19">
        <v>0.44853712568057663</v>
      </c>
    </row>
    <row r="21" spans="1:13" x14ac:dyDescent="0.75">
      <c r="B21" t="s">
        <v>6</v>
      </c>
      <c r="C21" s="1">
        <f>SUM(C15:C19)</f>
        <v>3.0514076874726868E-2</v>
      </c>
      <c r="D21" s="1">
        <f t="shared" ref="D21:H21" si="1">SUM(D15:D19)</f>
        <v>2.4878688830715836E-2</v>
      </c>
      <c r="E21" s="1">
        <f t="shared" si="1"/>
        <v>7.0015265075493525E-3</v>
      </c>
      <c r="F21" s="1">
        <f t="shared" si="1"/>
        <v>2.3418927255588272E-2</v>
      </c>
      <c r="G21" s="1">
        <f t="shared" si="1"/>
        <v>0.27216489541693495</v>
      </c>
      <c r="H21" s="1">
        <f t="shared" si="1"/>
        <v>0.64202188511448477</v>
      </c>
      <c r="I21" s="4"/>
      <c r="K21" s="2">
        <f>SUM(K15:K19)</f>
        <v>1.3668634009821716</v>
      </c>
      <c r="L21" s="2">
        <f t="shared" ref="L21:M21" si="2">SUM(L15:L19)</f>
        <v>330403640</v>
      </c>
      <c r="M21" s="2">
        <f t="shared" si="2"/>
        <v>1</v>
      </c>
    </row>
    <row r="23" spans="1:13" x14ac:dyDescent="0.75">
      <c r="B23" s="7" t="s">
        <v>9</v>
      </c>
      <c r="C23" s="6">
        <f>SUM(C16:C19)</f>
        <v>2.6169173799002077E-2</v>
      </c>
      <c r="D23" s="6"/>
      <c r="E23" s="6">
        <f>SUM(E17:E19)+E15</f>
        <v>2.4099736007751004E-3</v>
      </c>
      <c r="F23" s="6">
        <f>SUM(F15:F16)+SUM(F18:F19)</f>
        <v>1.4682766439280875E-2</v>
      </c>
      <c r="G23" s="6">
        <f>SUM(G15:G17)+G19</f>
        <v>7.8788675201993771E-2</v>
      </c>
      <c r="H23" s="6">
        <f>SUM(H15:H18)</f>
        <v>0.21993412311040403</v>
      </c>
      <c r="I23" s="5"/>
    </row>
  </sheetData>
  <mergeCells count="4">
    <mergeCell ref="C1:H1"/>
    <mergeCell ref="C13:H13"/>
    <mergeCell ref="A2:A7"/>
    <mergeCell ref="A14:A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CrossTable_mapv3_ceov3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Wespestad</dc:creator>
  <cp:lastModifiedBy>Crystal Wespestad</cp:lastModifiedBy>
  <dcterms:created xsi:type="dcterms:W3CDTF">2022-03-14T20:01:26Z</dcterms:created>
  <dcterms:modified xsi:type="dcterms:W3CDTF">2022-03-14T21:13:30Z</dcterms:modified>
</cp:coreProperties>
</file>